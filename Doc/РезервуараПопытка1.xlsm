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lvth\OneDrive\Рабочий стол\"/>
    </mc:Choice>
  </mc:AlternateContent>
  <xr:revisionPtr revIDLastSave="0" documentId="13_ncr:1_{BF1B04A0-F682-4A8F-91EE-285F2295465A}" xr6:coauthVersionLast="47" xr6:coauthVersionMax="47" xr10:uidLastSave="{00000000-0000-0000-0000-000000000000}"/>
  <bookViews>
    <workbookView xWindow="-108" yWindow="-108" windowWidth="23256" windowHeight="12576" firstSheet="2" activeTab="4" xr2:uid="{00000000-000D-0000-FFFF-FFFF00000000}"/>
  </bookViews>
  <sheets>
    <sheet name="Цилиндр" sheetId="1" r:id="rId1"/>
    <sheet name="цилиндр2" sheetId="6" r:id="rId2"/>
    <sheet name="Толщина стенки" sheetId="8" r:id="rId3"/>
    <sheet name="Лист1" sheetId="9" r:id="rId4"/>
    <sheet name="Лист2" sheetId="10" r:id="rId5"/>
    <sheet name="цилиндр3" sheetId="7" r:id="rId6"/>
    <sheet name="Цилиндр_Ильнур" sheetId="5" r:id="rId7"/>
    <sheet name="Сферический_Ильнур" sheetId="2" r:id="rId8"/>
    <sheet name="Лист3" sheetId="3" r:id="rId9"/>
    <sheet name="Лист4" sheetId="4" r:id="rId10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10" l="1"/>
  <c r="L4" i="10"/>
  <c r="H29" i="8"/>
  <c r="G7" i="8"/>
  <c r="G32" i="10"/>
  <c r="H32" i="10"/>
  <c r="K32" i="10"/>
  <c r="L32" i="10"/>
  <c r="O32" i="10"/>
  <c r="G33" i="10"/>
  <c r="H33" i="10" s="1"/>
  <c r="K33" i="10"/>
  <c r="O33" i="10"/>
  <c r="G34" i="10"/>
  <c r="H34" i="10"/>
  <c r="K34" i="10"/>
  <c r="L34" i="10"/>
  <c r="O34" i="10"/>
  <c r="G35" i="10"/>
  <c r="H35" i="10"/>
  <c r="K35" i="10"/>
  <c r="L35" i="10"/>
  <c r="O35" i="10"/>
  <c r="G36" i="10"/>
  <c r="H36" i="10"/>
  <c r="K36" i="10"/>
  <c r="L36" i="10"/>
  <c r="O36" i="10"/>
  <c r="G37" i="10"/>
  <c r="H37" i="10" s="1"/>
  <c r="K37" i="10"/>
  <c r="O37" i="10"/>
  <c r="G38" i="10"/>
  <c r="H38" i="10"/>
  <c r="K38" i="10"/>
  <c r="L38" i="10"/>
  <c r="O38" i="10"/>
  <c r="G39" i="10"/>
  <c r="H39" i="10"/>
  <c r="K39" i="10"/>
  <c r="L39" i="10"/>
  <c r="O39" i="10"/>
  <c r="G40" i="10"/>
  <c r="H40" i="10"/>
  <c r="K40" i="10"/>
  <c r="L40" i="10"/>
  <c r="O40" i="10"/>
  <c r="G41" i="10"/>
  <c r="H41" i="10" s="1"/>
  <c r="K41" i="10"/>
  <c r="O41" i="10"/>
  <c r="G42" i="10"/>
  <c r="H42" i="10"/>
  <c r="K42" i="10"/>
  <c r="L42" i="10"/>
  <c r="O42" i="10"/>
  <c r="G43" i="10"/>
  <c r="H43" i="10"/>
  <c r="K43" i="10"/>
  <c r="L43" i="10"/>
  <c r="O43" i="10"/>
  <c r="G44" i="10"/>
  <c r="H44" i="10"/>
  <c r="K44" i="10"/>
  <c r="L44" i="10"/>
  <c r="O44" i="10"/>
  <c r="G45" i="10"/>
  <c r="K45" i="10"/>
  <c r="G46" i="10"/>
  <c r="H46" i="10"/>
  <c r="K46" i="10"/>
  <c r="L46" i="10"/>
  <c r="O46" i="10"/>
  <c r="G47" i="10"/>
  <c r="H47" i="10"/>
  <c r="K47" i="10"/>
  <c r="L47" i="10"/>
  <c r="O47" i="10"/>
  <c r="G48" i="10"/>
  <c r="H48" i="10"/>
  <c r="K48" i="10"/>
  <c r="L48" i="10"/>
  <c r="O48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N4" i="10"/>
  <c r="K4" i="10"/>
  <c r="O4" i="10"/>
  <c r="G4" i="10"/>
  <c r="B31" i="10"/>
  <c r="B29" i="10"/>
  <c r="B16" i="10"/>
  <c r="B12" i="10"/>
  <c r="B30" i="10" s="1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4" i="9"/>
  <c r="B16" i="8"/>
  <c r="I34" i="10"/>
  <c r="M34" i="10"/>
  <c r="J35" i="10"/>
  <c r="I38" i="10"/>
  <c r="M38" i="10"/>
  <c r="J39" i="10"/>
  <c r="I42" i="10"/>
  <c r="M42" i="10"/>
  <c r="J43" i="10"/>
  <c r="I46" i="10"/>
  <c r="M46" i="10"/>
  <c r="J47" i="10"/>
  <c r="I33" i="10"/>
  <c r="M33" i="10"/>
  <c r="J34" i="10"/>
  <c r="I37" i="10"/>
  <c r="M37" i="10"/>
  <c r="J38" i="10"/>
  <c r="I41" i="10"/>
  <c r="M41" i="10"/>
  <c r="J42" i="10"/>
  <c r="J46" i="10"/>
  <c r="I32" i="10"/>
  <c r="M32" i="10"/>
  <c r="J33" i="10"/>
  <c r="I36" i="10"/>
  <c r="M36" i="10"/>
  <c r="J37" i="10"/>
  <c r="I40" i="10"/>
  <c r="M40" i="10"/>
  <c r="J41" i="10"/>
  <c r="I44" i="10"/>
  <c r="M44" i="10"/>
  <c r="I48" i="10"/>
  <c r="M48" i="10"/>
  <c r="J32" i="10"/>
  <c r="I35" i="10"/>
  <c r="M35" i="10"/>
  <c r="J36" i="10"/>
  <c r="I39" i="10"/>
  <c r="M39" i="10"/>
  <c r="J40" i="10"/>
  <c r="I43" i="10"/>
  <c r="M43" i="10"/>
  <c r="M47" i="10"/>
  <c r="J44" i="10"/>
  <c r="I47" i="10"/>
  <c r="J48" i="10"/>
  <c r="M7" i="10"/>
  <c r="M11" i="10"/>
  <c r="M15" i="10"/>
  <c r="M19" i="10"/>
  <c r="M23" i="10"/>
  <c r="M27" i="10"/>
  <c r="M31" i="10"/>
  <c r="M8" i="10"/>
  <c r="M12" i="10"/>
  <c r="M16" i="10"/>
  <c r="M20" i="10"/>
  <c r="M24" i="10"/>
  <c r="M28" i="10"/>
  <c r="M5" i="10"/>
  <c r="M9" i="10"/>
  <c r="M13" i="10"/>
  <c r="M17" i="10"/>
  <c r="M21" i="10"/>
  <c r="M25" i="10"/>
  <c r="M29" i="10"/>
  <c r="M6" i="10"/>
  <c r="M10" i="10"/>
  <c r="M14" i="10"/>
  <c r="M18" i="10"/>
  <c r="M22" i="10"/>
  <c r="M26" i="10"/>
  <c r="M30" i="10"/>
  <c r="J5" i="10"/>
  <c r="J9" i="10"/>
  <c r="J13" i="10"/>
  <c r="J17" i="10"/>
  <c r="J21" i="10"/>
  <c r="J25" i="10"/>
  <c r="J29" i="10"/>
  <c r="J10" i="10"/>
  <c r="J14" i="10"/>
  <c r="J18" i="10"/>
  <c r="J22" i="10"/>
  <c r="J30" i="10"/>
  <c r="J6" i="10"/>
  <c r="J7" i="10"/>
  <c r="J11" i="10"/>
  <c r="J15" i="10"/>
  <c r="J19" i="10"/>
  <c r="J23" i="10"/>
  <c r="J27" i="10"/>
  <c r="J31" i="10"/>
  <c r="J8" i="10"/>
  <c r="J12" i="10"/>
  <c r="J16" i="10"/>
  <c r="J20" i="10"/>
  <c r="J24" i="10"/>
  <c r="J28" i="10"/>
  <c r="J26" i="10"/>
  <c r="I5" i="10"/>
  <c r="I9" i="10"/>
  <c r="I13" i="10"/>
  <c r="I17" i="10"/>
  <c r="I21" i="10"/>
  <c r="I25" i="10"/>
  <c r="I29" i="10"/>
  <c r="I6" i="10"/>
  <c r="I10" i="10"/>
  <c r="I14" i="10"/>
  <c r="I18" i="10"/>
  <c r="I22" i="10"/>
  <c r="I26" i="10"/>
  <c r="I30" i="10"/>
  <c r="I7" i="10"/>
  <c r="I11" i="10"/>
  <c r="I15" i="10"/>
  <c r="I19" i="10"/>
  <c r="I23" i="10"/>
  <c r="I27" i="10"/>
  <c r="I31" i="10"/>
  <c r="I8" i="10"/>
  <c r="I12" i="10"/>
  <c r="I16" i="10"/>
  <c r="I20" i="10"/>
  <c r="I24" i="10"/>
  <c r="I28" i="10"/>
  <c r="M4" i="10"/>
  <c r="J4" i="10"/>
  <c r="I5" i="9"/>
  <c r="I9" i="9"/>
  <c r="I13" i="9"/>
  <c r="I17" i="9"/>
  <c r="I21" i="9"/>
  <c r="I10" i="9"/>
  <c r="I14" i="9"/>
  <c r="I18" i="9"/>
  <c r="I6" i="9"/>
  <c r="I7" i="9"/>
  <c r="I11" i="9"/>
  <c r="I15" i="9"/>
  <c r="I19" i="9"/>
  <c r="I23" i="9"/>
  <c r="I8" i="9"/>
  <c r="I12" i="9"/>
  <c r="I16" i="9"/>
  <c r="I20" i="9"/>
  <c r="I22" i="9"/>
  <c r="H5" i="9"/>
  <c r="H9" i="9"/>
  <c r="H13" i="9"/>
  <c r="H17" i="9"/>
  <c r="H21" i="9"/>
  <c r="H25" i="9"/>
  <c r="H7" i="9"/>
  <c r="H15" i="9"/>
  <c r="H23" i="9"/>
  <c r="H12" i="9"/>
  <c r="H16" i="9"/>
  <c r="H6" i="9"/>
  <c r="H10" i="9"/>
  <c r="H14" i="9"/>
  <c r="H18" i="9"/>
  <c r="H22" i="9"/>
  <c r="H26" i="9"/>
  <c r="H11" i="9"/>
  <c r="H19" i="9"/>
  <c r="H27" i="9"/>
  <c r="H8" i="9"/>
  <c r="H20" i="9"/>
  <c r="H24" i="9"/>
  <c r="H4" i="9"/>
  <c r="I4" i="10"/>
  <c r="L5" i="9"/>
  <c r="L9" i="9"/>
  <c r="L13" i="9"/>
  <c r="L17" i="9"/>
  <c r="L21" i="9"/>
  <c r="L25" i="9"/>
  <c r="L29" i="9"/>
  <c r="L33" i="9"/>
  <c r="L11" i="9"/>
  <c r="L19" i="9"/>
  <c r="L27" i="9"/>
  <c r="L28" i="9"/>
  <c r="L6" i="9"/>
  <c r="L10" i="9"/>
  <c r="L14" i="9"/>
  <c r="L18" i="9"/>
  <c r="L22" i="9"/>
  <c r="L26" i="9"/>
  <c r="L30" i="9"/>
  <c r="L7" i="9"/>
  <c r="L15" i="9"/>
  <c r="L23" i="9"/>
  <c r="L31" i="9"/>
  <c r="L8" i="9"/>
  <c r="L12" i="9"/>
  <c r="L16" i="9"/>
  <c r="L20" i="9"/>
  <c r="L24" i="9"/>
  <c r="L32" i="9"/>
  <c r="L4" i="9"/>
  <c r="P35" i="10" l="1"/>
  <c r="Q35" i="10" s="1"/>
  <c r="N48" i="10"/>
  <c r="P48" i="10" s="1"/>
  <c r="Q48" i="10" s="1"/>
  <c r="N44" i="10"/>
  <c r="P44" i="10" s="1"/>
  <c r="Q44" i="10" s="1"/>
  <c r="N40" i="10"/>
  <c r="P40" i="10" s="1"/>
  <c r="Q40" i="10" s="1"/>
  <c r="N36" i="10"/>
  <c r="P36" i="10" s="1"/>
  <c r="Q36" i="10" s="1"/>
  <c r="N32" i="10"/>
  <c r="P32" i="10" s="1"/>
  <c r="Q32" i="10" s="1"/>
  <c r="P37" i="10"/>
  <c r="Q37" i="10" s="1"/>
  <c r="P46" i="10"/>
  <c r="Q46" i="10" s="1"/>
  <c r="P38" i="10"/>
  <c r="Q38" i="10" s="1"/>
  <c r="H45" i="10"/>
  <c r="L45" i="10"/>
  <c r="N46" i="10"/>
  <c r="N38" i="10"/>
  <c r="O45" i="10"/>
  <c r="N43" i="10"/>
  <c r="P43" i="10" s="1"/>
  <c r="Q43" i="10" s="1"/>
  <c r="N35" i="10"/>
  <c r="N39" i="10"/>
  <c r="P39" i="10" s="1"/>
  <c r="Q39" i="10" s="1"/>
  <c r="N47" i="10"/>
  <c r="P47" i="10" s="1"/>
  <c r="Q47" i="10" s="1"/>
  <c r="N42" i="10"/>
  <c r="P42" i="10" s="1"/>
  <c r="Q42" i="10" s="1"/>
  <c r="N34" i="10"/>
  <c r="P34" i="10" s="1"/>
  <c r="Q34" i="10" s="1"/>
  <c r="N41" i="10"/>
  <c r="P41" i="10" s="1"/>
  <c r="Q41" i="10" s="1"/>
  <c r="N37" i="10"/>
  <c r="N33" i="10"/>
  <c r="P33" i="10" s="1"/>
  <c r="Q33" i="10" s="1"/>
  <c r="L41" i="10"/>
  <c r="L37" i="10"/>
  <c r="L33" i="10"/>
  <c r="H4" i="10"/>
  <c r="F22" i="9"/>
  <c r="G22" i="9" s="1"/>
  <c r="J22" i="9" s="1"/>
  <c r="F23" i="9"/>
  <c r="F24" i="9"/>
  <c r="N24" i="9" s="1"/>
  <c r="F25" i="9"/>
  <c r="N25" i="9" s="1"/>
  <c r="F26" i="9"/>
  <c r="G26" i="9" s="1"/>
  <c r="J26" i="9" s="1"/>
  <c r="F27" i="9"/>
  <c r="F28" i="9"/>
  <c r="N28" i="9" s="1"/>
  <c r="F29" i="9"/>
  <c r="N29" i="9" s="1"/>
  <c r="F30" i="9"/>
  <c r="G30" i="9" s="1"/>
  <c r="J30" i="9" s="1"/>
  <c r="F31" i="9"/>
  <c r="F32" i="9"/>
  <c r="N32" i="9" s="1"/>
  <c r="F33" i="9"/>
  <c r="N33" i="9" s="1"/>
  <c r="B29" i="8"/>
  <c r="J2" i="7"/>
  <c r="I2" i="7"/>
  <c r="H2" i="7"/>
  <c r="J3" i="7"/>
  <c r="F10" i="9"/>
  <c r="G10" i="9" s="1"/>
  <c r="J10" i="9" s="1"/>
  <c r="F11" i="9"/>
  <c r="N11" i="9" s="1"/>
  <c r="F12" i="9"/>
  <c r="G12" i="9" s="1"/>
  <c r="J12" i="9" s="1"/>
  <c r="F13" i="9"/>
  <c r="G13" i="9" s="1"/>
  <c r="J13" i="9" s="1"/>
  <c r="F14" i="9"/>
  <c r="G14" i="9" s="1"/>
  <c r="J14" i="9" s="1"/>
  <c r="F15" i="9"/>
  <c r="N15" i="9" s="1"/>
  <c r="F16" i="9"/>
  <c r="F17" i="9"/>
  <c r="G17" i="9" s="1"/>
  <c r="J17" i="9" s="1"/>
  <c r="F18" i="9"/>
  <c r="N18" i="9" s="1"/>
  <c r="F19" i="9"/>
  <c r="N19" i="9" s="1"/>
  <c r="F20" i="9"/>
  <c r="G20" i="9" s="1"/>
  <c r="J20" i="9" s="1"/>
  <c r="F21" i="9"/>
  <c r="G21" i="9" s="1"/>
  <c r="G10" i="7"/>
  <c r="G5" i="7"/>
  <c r="F5" i="9"/>
  <c r="G5" i="9" s="1"/>
  <c r="J5" i="9" s="1"/>
  <c r="F6" i="9"/>
  <c r="G6" i="9" s="1"/>
  <c r="J6" i="9" s="1"/>
  <c r="F7" i="9"/>
  <c r="N7" i="9" s="1"/>
  <c r="F8" i="9"/>
  <c r="N8" i="9" s="1"/>
  <c r="F9" i="9"/>
  <c r="G9" i="9" s="1"/>
  <c r="J9" i="9" s="1"/>
  <c r="F4" i="9"/>
  <c r="G4" i="9" s="1"/>
  <c r="J4" i="9" s="1"/>
  <c r="G3" i="7"/>
  <c r="G2" i="7"/>
  <c r="O3" i="5"/>
  <c r="B31" i="8"/>
  <c r="B30" i="8"/>
  <c r="B12" i="8"/>
  <c r="B31" i="9"/>
  <c r="B29" i="9"/>
  <c r="B16" i="9"/>
  <c r="B12" i="9"/>
  <c r="B30" i="9" s="1"/>
  <c r="J45" i="10"/>
  <c r="M45" i="10"/>
  <c r="I45" i="10"/>
  <c r="H30" i="9"/>
  <c r="I30" i="9"/>
  <c r="I4" i="9"/>
  <c r="I26" i="9"/>
  <c r="N45" i="10" l="1"/>
  <c r="P45" i="10" s="1"/>
  <c r="Q45" i="10" s="1"/>
  <c r="P4" i="10"/>
  <c r="M4" i="9"/>
  <c r="O4" i="9" s="1"/>
  <c r="P4" i="9" s="1"/>
  <c r="M5" i="9"/>
  <c r="O5" i="9" s="1"/>
  <c r="G8" i="9"/>
  <c r="N17" i="9"/>
  <c r="G19" i="9"/>
  <c r="N6" i="9"/>
  <c r="G18" i="9"/>
  <c r="N4" i="9"/>
  <c r="N13" i="9"/>
  <c r="N26" i="9"/>
  <c r="G7" i="9"/>
  <c r="N14" i="9"/>
  <c r="N30" i="9"/>
  <c r="N10" i="9"/>
  <c r="N22" i="9"/>
  <c r="M14" i="9"/>
  <c r="O14" i="9" s="1"/>
  <c r="P14" i="9" s="1"/>
  <c r="M10" i="9"/>
  <c r="M17" i="9"/>
  <c r="M6" i="9"/>
  <c r="M13" i="9"/>
  <c r="O13" i="9" s="1"/>
  <c r="P13" i="9" s="1"/>
  <c r="G16" i="9"/>
  <c r="G15" i="9"/>
  <c r="M20" i="9"/>
  <c r="M12" i="9"/>
  <c r="N20" i="9"/>
  <c r="N16" i="9"/>
  <c r="N12" i="9"/>
  <c r="G32" i="9"/>
  <c r="G28" i="9"/>
  <c r="G24" i="9"/>
  <c r="G11" i="9"/>
  <c r="M9" i="9"/>
  <c r="N9" i="9"/>
  <c r="N5" i="9"/>
  <c r="G33" i="9"/>
  <c r="G29" i="9"/>
  <c r="G25" i="9"/>
  <c r="G31" i="9"/>
  <c r="G27" i="9"/>
  <c r="G23" i="9"/>
  <c r="N31" i="9"/>
  <c r="M30" i="9"/>
  <c r="O30" i="9" s="1"/>
  <c r="P30" i="9" s="1"/>
  <c r="N27" i="9"/>
  <c r="M26" i="9"/>
  <c r="N23" i="9"/>
  <c r="M22" i="9"/>
  <c r="J21" i="9"/>
  <c r="N21" i="9"/>
  <c r="M21" i="9"/>
  <c r="G14" i="8"/>
  <c r="D21" i="8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2" i="1"/>
  <c r="O2" i="5"/>
  <c r="F20" i="8"/>
  <c r="C17" i="7"/>
  <c r="H2" i="6"/>
  <c r="N5" i="6"/>
  <c r="C16" i="6"/>
  <c r="N137" i="7"/>
  <c r="N138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20" i="7"/>
  <c r="N21" i="7"/>
  <c r="N22" i="7"/>
  <c r="N23" i="7"/>
  <c r="N24" i="7"/>
  <c r="N25" i="7"/>
  <c r="N26" i="7"/>
  <c r="N2" i="6"/>
  <c r="N2" i="1"/>
  <c r="H138" i="7"/>
  <c r="G138" i="7"/>
  <c r="J138" i="7" s="1"/>
  <c r="H137" i="7"/>
  <c r="G137" i="7"/>
  <c r="H136" i="7"/>
  <c r="G136" i="7"/>
  <c r="H135" i="7"/>
  <c r="G135" i="7"/>
  <c r="J135" i="7" s="1"/>
  <c r="H134" i="7"/>
  <c r="G134" i="7"/>
  <c r="J134" i="7" s="1"/>
  <c r="H133" i="7"/>
  <c r="G133" i="7"/>
  <c r="H132" i="7"/>
  <c r="G132" i="7"/>
  <c r="J132" i="7" s="1"/>
  <c r="M132" i="7" s="1"/>
  <c r="H131" i="7"/>
  <c r="G131" i="7"/>
  <c r="J131" i="7" s="1"/>
  <c r="H130" i="7"/>
  <c r="G130" i="7"/>
  <c r="J130" i="7" s="1"/>
  <c r="H129" i="7"/>
  <c r="G129" i="7"/>
  <c r="H128" i="7"/>
  <c r="G128" i="7"/>
  <c r="J128" i="7" s="1"/>
  <c r="M128" i="7" s="1"/>
  <c r="H127" i="7"/>
  <c r="G127" i="7"/>
  <c r="J127" i="7" s="1"/>
  <c r="H126" i="7"/>
  <c r="G126" i="7"/>
  <c r="J126" i="7" s="1"/>
  <c r="H125" i="7"/>
  <c r="G125" i="7"/>
  <c r="H124" i="7"/>
  <c r="G124" i="7"/>
  <c r="H123" i="7"/>
  <c r="G123" i="7"/>
  <c r="J123" i="7" s="1"/>
  <c r="H122" i="7"/>
  <c r="G122" i="7"/>
  <c r="J122" i="7" s="1"/>
  <c r="H121" i="7"/>
  <c r="G121" i="7"/>
  <c r="H120" i="7"/>
  <c r="G120" i="7"/>
  <c r="J120" i="7" s="1"/>
  <c r="M120" i="7" s="1"/>
  <c r="H119" i="7"/>
  <c r="G119" i="7"/>
  <c r="J119" i="7" s="1"/>
  <c r="H118" i="7"/>
  <c r="G118" i="7"/>
  <c r="J118" i="7" s="1"/>
  <c r="H117" i="7"/>
  <c r="G117" i="7"/>
  <c r="H116" i="7"/>
  <c r="G116" i="7"/>
  <c r="J116" i="7" s="1"/>
  <c r="M116" i="7" s="1"/>
  <c r="H115" i="7"/>
  <c r="G115" i="7"/>
  <c r="J115" i="7" s="1"/>
  <c r="H114" i="7"/>
  <c r="G114" i="7"/>
  <c r="J114" i="7" s="1"/>
  <c r="H113" i="7"/>
  <c r="G113" i="7"/>
  <c r="H112" i="7"/>
  <c r="G112" i="7"/>
  <c r="J112" i="7" s="1"/>
  <c r="M112" i="7" s="1"/>
  <c r="H111" i="7"/>
  <c r="G111" i="7"/>
  <c r="J111" i="7" s="1"/>
  <c r="H110" i="7"/>
  <c r="G110" i="7"/>
  <c r="J110" i="7" s="1"/>
  <c r="H109" i="7"/>
  <c r="G109" i="7"/>
  <c r="H108" i="7"/>
  <c r="G108" i="7"/>
  <c r="H107" i="7"/>
  <c r="G107" i="7"/>
  <c r="J107" i="7" s="1"/>
  <c r="H106" i="7"/>
  <c r="G106" i="7"/>
  <c r="J106" i="7" s="1"/>
  <c r="H105" i="7"/>
  <c r="G105" i="7"/>
  <c r="H104" i="7"/>
  <c r="G104" i="7"/>
  <c r="H103" i="7"/>
  <c r="G103" i="7"/>
  <c r="J103" i="7" s="1"/>
  <c r="H102" i="7"/>
  <c r="G102" i="7"/>
  <c r="J102" i="7" s="1"/>
  <c r="H101" i="7"/>
  <c r="G101" i="7"/>
  <c r="H100" i="7"/>
  <c r="G100" i="7"/>
  <c r="J100" i="7" s="1"/>
  <c r="M100" i="7" s="1"/>
  <c r="H99" i="7"/>
  <c r="G99" i="7"/>
  <c r="J99" i="7" s="1"/>
  <c r="H98" i="7"/>
  <c r="G98" i="7"/>
  <c r="J98" i="7" s="1"/>
  <c r="H97" i="7"/>
  <c r="G97" i="7"/>
  <c r="H96" i="7"/>
  <c r="G96" i="7"/>
  <c r="J96" i="7" s="1"/>
  <c r="M96" i="7" s="1"/>
  <c r="H95" i="7"/>
  <c r="G95" i="7"/>
  <c r="J95" i="7" s="1"/>
  <c r="H94" i="7"/>
  <c r="G94" i="7"/>
  <c r="J94" i="7" s="1"/>
  <c r="H93" i="7"/>
  <c r="G93" i="7"/>
  <c r="H92" i="7"/>
  <c r="G92" i="7"/>
  <c r="H91" i="7"/>
  <c r="G91" i="7"/>
  <c r="J91" i="7" s="1"/>
  <c r="H90" i="7"/>
  <c r="G90" i="7"/>
  <c r="J90" i="7" s="1"/>
  <c r="H89" i="7"/>
  <c r="G89" i="7"/>
  <c r="H88" i="7"/>
  <c r="G88" i="7"/>
  <c r="J88" i="7" s="1"/>
  <c r="M88" i="7" s="1"/>
  <c r="H87" i="7"/>
  <c r="G87" i="7"/>
  <c r="H86" i="7"/>
  <c r="G86" i="7"/>
  <c r="J86" i="7" s="1"/>
  <c r="H85" i="7"/>
  <c r="G85" i="7"/>
  <c r="H84" i="7"/>
  <c r="G84" i="7"/>
  <c r="J84" i="7" s="1"/>
  <c r="M84" i="7" s="1"/>
  <c r="H83" i="7"/>
  <c r="G83" i="7"/>
  <c r="J83" i="7" s="1"/>
  <c r="M83" i="7" s="1"/>
  <c r="H82" i="7"/>
  <c r="G82" i="7"/>
  <c r="J82" i="7" s="1"/>
  <c r="H81" i="7"/>
  <c r="G81" i="7"/>
  <c r="J81" i="7" s="1"/>
  <c r="M81" i="7" s="1"/>
  <c r="H80" i="7"/>
  <c r="G80" i="7"/>
  <c r="J80" i="7" s="1"/>
  <c r="H79" i="7"/>
  <c r="G79" i="7"/>
  <c r="J79" i="7" s="1"/>
  <c r="H78" i="7"/>
  <c r="G78" i="7"/>
  <c r="J78" i="7" s="1"/>
  <c r="H77" i="7"/>
  <c r="G77" i="7"/>
  <c r="H76" i="7"/>
  <c r="G76" i="7"/>
  <c r="J76" i="7" s="1"/>
  <c r="H75" i="7"/>
  <c r="G75" i="7"/>
  <c r="J75" i="7" s="1"/>
  <c r="H74" i="7"/>
  <c r="G74" i="7"/>
  <c r="J74" i="7" s="1"/>
  <c r="M74" i="7" s="1"/>
  <c r="H73" i="7"/>
  <c r="G73" i="7"/>
  <c r="J73" i="7" s="1"/>
  <c r="M73" i="7" s="1"/>
  <c r="H72" i="7"/>
  <c r="G72" i="7"/>
  <c r="H71" i="7"/>
  <c r="G71" i="7"/>
  <c r="H70" i="7"/>
  <c r="G70" i="7"/>
  <c r="J70" i="7" s="1"/>
  <c r="M70" i="7" s="1"/>
  <c r="H69" i="7"/>
  <c r="G69" i="7"/>
  <c r="J69" i="7" s="1"/>
  <c r="H68" i="7"/>
  <c r="G68" i="7"/>
  <c r="J68" i="7" s="1"/>
  <c r="H67" i="7"/>
  <c r="G67" i="7"/>
  <c r="H66" i="7"/>
  <c r="G66" i="7"/>
  <c r="J66" i="7" s="1"/>
  <c r="M66" i="7" s="1"/>
  <c r="H65" i="7"/>
  <c r="G65" i="7"/>
  <c r="J65" i="7" s="1"/>
  <c r="H64" i="7"/>
  <c r="G64" i="7"/>
  <c r="J64" i="7" s="1"/>
  <c r="H63" i="7"/>
  <c r="G63" i="7"/>
  <c r="H62" i="7"/>
  <c r="G62" i="7"/>
  <c r="J62" i="7" s="1"/>
  <c r="M62" i="7" s="1"/>
  <c r="H61" i="7"/>
  <c r="G61" i="7"/>
  <c r="J61" i="7" s="1"/>
  <c r="H60" i="7"/>
  <c r="G60" i="7"/>
  <c r="J60" i="7" s="1"/>
  <c r="H59" i="7"/>
  <c r="G59" i="7"/>
  <c r="H58" i="7"/>
  <c r="G58" i="7"/>
  <c r="J58" i="7" s="1"/>
  <c r="M58" i="7" s="1"/>
  <c r="H57" i="7"/>
  <c r="G57" i="7"/>
  <c r="J57" i="7" s="1"/>
  <c r="H56" i="7"/>
  <c r="G56" i="7"/>
  <c r="J56" i="7" s="1"/>
  <c r="H55" i="7"/>
  <c r="G55" i="7"/>
  <c r="H54" i="7"/>
  <c r="G54" i="7"/>
  <c r="J54" i="7" s="1"/>
  <c r="M54" i="7" s="1"/>
  <c r="H53" i="7"/>
  <c r="G53" i="7"/>
  <c r="J53" i="7" s="1"/>
  <c r="M53" i="7" s="1"/>
  <c r="H52" i="7"/>
  <c r="G52" i="7"/>
  <c r="J52" i="7" s="1"/>
  <c r="M52" i="7" s="1"/>
  <c r="H51" i="7"/>
  <c r="G51" i="7"/>
  <c r="J51" i="7" s="1"/>
  <c r="M51" i="7" s="1"/>
  <c r="H50" i="7"/>
  <c r="G50" i="7"/>
  <c r="J50" i="7" s="1"/>
  <c r="M50" i="7" s="1"/>
  <c r="H49" i="7"/>
  <c r="G49" i="7"/>
  <c r="J49" i="7" s="1"/>
  <c r="M49" i="7" s="1"/>
  <c r="H48" i="7"/>
  <c r="G48" i="7"/>
  <c r="J48" i="7" s="1"/>
  <c r="H47" i="7"/>
  <c r="G47" i="7"/>
  <c r="J47" i="7" s="1"/>
  <c r="M47" i="7" s="1"/>
  <c r="H46" i="7"/>
  <c r="G46" i="7"/>
  <c r="J46" i="7" s="1"/>
  <c r="M46" i="7" s="1"/>
  <c r="H45" i="7"/>
  <c r="G45" i="7"/>
  <c r="J45" i="7" s="1"/>
  <c r="M45" i="7" s="1"/>
  <c r="H44" i="7"/>
  <c r="G44" i="7"/>
  <c r="J44" i="7" s="1"/>
  <c r="M44" i="7" s="1"/>
  <c r="H43" i="7"/>
  <c r="G43" i="7"/>
  <c r="J43" i="7" s="1"/>
  <c r="M43" i="7" s="1"/>
  <c r="H42" i="7"/>
  <c r="G42" i="7"/>
  <c r="J42" i="7" s="1"/>
  <c r="M42" i="7" s="1"/>
  <c r="H41" i="7"/>
  <c r="G41" i="7"/>
  <c r="J41" i="7" s="1"/>
  <c r="M41" i="7" s="1"/>
  <c r="H40" i="7"/>
  <c r="G40" i="7"/>
  <c r="J40" i="7" s="1"/>
  <c r="H39" i="7"/>
  <c r="G39" i="7"/>
  <c r="J39" i="7" s="1"/>
  <c r="M39" i="7" s="1"/>
  <c r="H38" i="7"/>
  <c r="G38" i="7"/>
  <c r="J38" i="7" s="1"/>
  <c r="M38" i="7" s="1"/>
  <c r="H37" i="7"/>
  <c r="G37" i="7"/>
  <c r="J37" i="7" s="1"/>
  <c r="M37" i="7" s="1"/>
  <c r="H36" i="7"/>
  <c r="G36" i="7"/>
  <c r="J36" i="7" s="1"/>
  <c r="M36" i="7" s="1"/>
  <c r="H35" i="7"/>
  <c r="G35" i="7"/>
  <c r="J35" i="7" s="1"/>
  <c r="M35" i="7" s="1"/>
  <c r="H34" i="7"/>
  <c r="G34" i="7"/>
  <c r="J34" i="7" s="1"/>
  <c r="M34" i="7" s="1"/>
  <c r="H33" i="7"/>
  <c r="G33" i="7"/>
  <c r="H32" i="7"/>
  <c r="G32" i="7"/>
  <c r="J32" i="7" s="1"/>
  <c r="H31" i="7"/>
  <c r="G31" i="7"/>
  <c r="J31" i="7" s="1"/>
  <c r="M31" i="7" s="1"/>
  <c r="H30" i="7"/>
  <c r="G30" i="7"/>
  <c r="J30" i="7" s="1"/>
  <c r="H29" i="7"/>
  <c r="G29" i="7"/>
  <c r="J29" i="7" s="1"/>
  <c r="H28" i="7"/>
  <c r="G28" i="7"/>
  <c r="J28" i="7" s="1"/>
  <c r="M28" i="7" s="1"/>
  <c r="H27" i="7"/>
  <c r="G27" i="7"/>
  <c r="J27" i="7" s="1"/>
  <c r="H26" i="7"/>
  <c r="G26" i="7"/>
  <c r="H25" i="7"/>
  <c r="G25" i="7"/>
  <c r="J25" i="7" s="1"/>
  <c r="M25" i="7" s="1"/>
  <c r="H24" i="7"/>
  <c r="G24" i="7"/>
  <c r="H23" i="7"/>
  <c r="G23" i="7"/>
  <c r="J23" i="7" s="1"/>
  <c r="M23" i="7" s="1"/>
  <c r="H22" i="7"/>
  <c r="G22" i="7"/>
  <c r="H21" i="7"/>
  <c r="G21" i="7"/>
  <c r="J21" i="7" s="1"/>
  <c r="M21" i="7" s="1"/>
  <c r="H20" i="7"/>
  <c r="G20" i="7"/>
  <c r="H19" i="7"/>
  <c r="G19" i="7"/>
  <c r="J19" i="7" s="1"/>
  <c r="M19" i="7" s="1"/>
  <c r="H18" i="7"/>
  <c r="G18" i="7"/>
  <c r="H17" i="7"/>
  <c r="G17" i="7"/>
  <c r="J17" i="7" s="1"/>
  <c r="T17" i="7" s="1"/>
  <c r="H16" i="7"/>
  <c r="G16" i="7"/>
  <c r="J16" i="7" s="1"/>
  <c r="N16" i="7" s="1"/>
  <c r="C16" i="7"/>
  <c r="H15" i="7"/>
  <c r="G15" i="7"/>
  <c r="J15" i="7" s="1"/>
  <c r="N15" i="7" s="1"/>
  <c r="H14" i="7"/>
  <c r="G14" i="7"/>
  <c r="H13" i="7"/>
  <c r="G13" i="7"/>
  <c r="J13" i="7" s="1"/>
  <c r="H12" i="7"/>
  <c r="G12" i="7"/>
  <c r="C12" i="7"/>
  <c r="H11" i="7"/>
  <c r="G11" i="7"/>
  <c r="C11" i="7"/>
  <c r="H10" i="7"/>
  <c r="J10" i="7"/>
  <c r="S10" i="7" s="1"/>
  <c r="H9" i="7"/>
  <c r="G9" i="7"/>
  <c r="H8" i="7"/>
  <c r="G8" i="7"/>
  <c r="J8" i="7" s="1"/>
  <c r="N8" i="7" s="1"/>
  <c r="H7" i="7"/>
  <c r="G7" i="7"/>
  <c r="H6" i="7"/>
  <c r="G6" i="7"/>
  <c r="H5" i="7"/>
  <c r="J5" i="7"/>
  <c r="N5" i="7" s="1"/>
  <c r="X4" i="7"/>
  <c r="H4" i="7"/>
  <c r="G4" i="7"/>
  <c r="X3" i="7"/>
  <c r="H3" i="7"/>
  <c r="P2" i="6"/>
  <c r="Q3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" i="6"/>
  <c r="N4" i="6"/>
  <c r="N6" i="6"/>
  <c r="N7" i="6"/>
  <c r="N8" i="6"/>
  <c r="N9" i="6"/>
  <c r="N10" i="6"/>
  <c r="O2" i="6"/>
  <c r="C17" i="6"/>
  <c r="J138" i="6"/>
  <c r="M138" i="6" s="1"/>
  <c r="H138" i="6"/>
  <c r="I138" i="6" s="1"/>
  <c r="G138" i="6"/>
  <c r="L138" i="6" s="1"/>
  <c r="H137" i="6"/>
  <c r="G137" i="6"/>
  <c r="J137" i="6" s="1"/>
  <c r="J136" i="6"/>
  <c r="M136" i="6" s="1"/>
  <c r="H136" i="6"/>
  <c r="I136" i="6" s="1"/>
  <c r="G136" i="6"/>
  <c r="H135" i="6"/>
  <c r="G135" i="6"/>
  <c r="J135" i="6" s="1"/>
  <c r="M135" i="6" s="1"/>
  <c r="M134" i="6"/>
  <c r="J134" i="6"/>
  <c r="H134" i="6"/>
  <c r="I134" i="6" s="1"/>
  <c r="G134" i="6"/>
  <c r="H133" i="6"/>
  <c r="G133" i="6"/>
  <c r="J132" i="6"/>
  <c r="M132" i="6" s="1"/>
  <c r="H132" i="6"/>
  <c r="G132" i="6"/>
  <c r="I131" i="6"/>
  <c r="H131" i="6"/>
  <c r="G131" i="6"/>
  <c r="J131" i="6" s="1"/>
  <c r="M131" i="6" s="1"/>
  <c r="M130" i="6"/>
  <c r="J130" i="6"/>
  <c r="H130" i="6"/>
  <c r="I130" i="6" s="1"/>
  <c r="G130" i="6"/>
  <c r="L130" i="6" s="1"/>
  <c r="H129" i="6"/>
  <c r="G129" i="6"/>
  <c r="J129" i="6" s="1"/>
  <c r="J128" i="6"/>
  <c r="M128" i="6" s="1"/>
  <c r="H128" i="6"/>
  <c r="I128" i="6" s="1"/>
  <c r="G128" i="6"/>
  <c r="H127" i="6"/>
  <c r="G127" i="6"/>
  <c r="J127" i="6" s="1"/>
  <c r="M127" i="6" s="1"/>
  <c r="M126" i="6"/>
  <c r="J126" i="6"/>
  <c r="H126" i="6"/>
  <c r="I126" i="6" s="1"/>
  <c r="G126" i="6"/>
  <c r="H125" i="6"/>
  <c r="G125" i="6"/>
  <c r="J124" i="6"/>
  <c r="M124" i="6" s="1"/>
  <c r="H124" i="6"/>
  <c r="G124" i="6"/>
  <c r="I123" i="6"/>
  <c r="H123" i="6"/>
  <c r="G123" i="6"/>
  <c r="J123" i="6" s="1"/>
  <c r="M123" i="6" s="1"/>
  <c r="M122" i="6"/>
  <c r="J122" i="6"/>
  <c r="H122" i="6"/>
  <c r="I122" i="6" s="1"/>
  <c r="G122" i="6"/>
  <c r="L122" i="6" s="1"/>
  <c r="H121" i="6"/>
  <c r="G121" i="6"/>
  <c r="J121" i="6" s="1"/>
  <c r="J120" i="6"/>
  <c r="M120" i="6" s="1"/>
  <c r="H120" i="6"/>
  <c r="I120" i="6" s="1"/>
  <c r="G120" i="6"/>
  <c r="H119" i="6"/>
  <c r="G119" i="6"/>
  <c r="J119" i="6" s="1"/>
  <c r="M119" i="6" s="1"/>
  <c r="M118" i="6"/>
  <c r="J118" i="6"/>
  <c r="H118" i="6"/>
  <c r="I118" i="6" s="1"/>
  <c r="G118" i="6"/>
  <c r="H117" i="6"/>
  <c r="G117" i="6"/>
  <c r="J116" i="6"/>
  <c r="M116" i="6" s="1"/>
  <c r="H116" i="6"/>
  <c r="G116" i="6"/>
  <c r="H115" i="6"/>
  <c r="G115" i="6"/>
  <c r="M114" i="6"/>
  <c r="J114" i="6"/>
  <c r="H114" i="6"/>
  <c r="G114" i="6"/>
  <c r="H113" i="6"/>
  <c r="G113" i="6"/>
  <c r="M112" i="6"/>
  <c r="J112" i="6"/>
  <c r="H112" i="6"/>
  <c r="I112" i="6" s="1"/>
  <c r="G112" i="6"/>
  <c r="L112" i="6" s="1"/>
  <c r="H111" i="6"/>
  <c r="G111" i="6"/>
  <c r="J111" i="6" s="1"/>
  <c r="M111" i="6" s="1"/>
  <c r="J110" i="6"/>
  <c r="M110" i="6" s="1"/>
  <c r="H110" i="6"/>
  <c r="I110" i="6" s="1"/>
  <c r="G110" i="6"/>
  <c r="I109" i="6"/>
  <c r="L109" i="6" s="1"/>
  <c r="H109" i="6"/>
  <c r="G109" i="6"/>
  <c r="J109" i="6" s="1"/>
  <c r="M109" i="6" s="1"/>
  <c r="J108" i="6"/>
  <c r="M108" i="6" s="1"/>
  <c r="H108" i="6"/>
  <c r="G108" i="6"/>
  <c r="L107" i="6"/>
  <c r="I107" i="6"/>
  <c r="H107" i="6"/>
  <c r="G107" i="6"/>
  <c r="J107" i="6" s="1"/>
  <c r="M107" i="6" s="1"/>
  <c r="M106" i="6"/>
  <c r="J106" i="6"/>
  <c r="H106" i="6"/>
  <c r="G106" i="6"/>
  <c r="H105" i="6"/>
  <c r="G105" i="6"/>
  <c r="M104" i="6"/>
  <c r="J104" i="6"/>
  <c r="H104" i="6"/>
  <c r="I104" i="6" s="1"/>
  <c r="G104" i="6"/>
  <c r="L104" i="6" s="1"/>
  <c r="H103" i="6"/>
  <c r="G103" i="6"/>
  <c r="J103" i="6" s="1"/>
  <c r="M103" i="6" s="1"/>
  <c r="J102" i="6"/>
  <c r="M102" i="6" s="1"/>
  <c r="H102" i="6"/>
  <c r="I102" i="6" s="1"/>
  <c r="G102" i="6"/>
  <c r="I101" i="6"/>
  <c r="L101" i="6" s="1"/>
  <c r="H101" i="6"/>
  <c r="G101" i="6"/>
  <c r="J101" i="6" s="1"/>
  <c r="M101" i="6" s="1"/>
  <c r="J100" i="6"/>
  <c r="M100" i="6" s="1"/>
  <c r="H100" i="6"/>
  <c r="G100" i="6"/>
  <c r="L99" i="6"/>
  <c r="I99" i="6"/>
  <c r="H99" i="6"/>
  <c r="G99" i="6"/>
  <c r="J99" i="6" s="1"/>
  <c r="M99" i="6" s="1"/>
  <c r="M98" i="6"/>
  <c r="J98" i="6"/>
  <c r="H98" i="6"/>
  <c r="G98" i="6"/>
  <c r="H97" i="6"/>
  <c r="G97" i="6"/>
  <c r="M96" i="6"/>
  <c r="J96" i="6"/>
  <c r="H96" i="6"/>
  <c r="I96" i="6" s="1"/>
  <c r="G96" i="6"/>
  <c r="L96" i="6" s="1"/>
  <c r="H95" i="6"/>
  <c r="G95" i="6"/>
  <c r="J95" i="6" s="1"/>
  <c r="M95" i="6" s="1"/>
  <c r="J94" i="6"/>
  <c r="M94" i="6" s="1"/>
  <c r="H94" i="6"/>
  <c r="I94" i="6" s="1"/>
  <c r="G94" i="6"/>
  <c r="I93" i="6"/>
  <c r="L93" i="6" s="1"/>
  <c r="H93" i="6"/>
  <c r="G93" i="6"/>
  <c r="J93" i="6" s="1"/>
  <c r="M93" i="6" s="1"/>
  <c r="J92" i="6"/>
  <c r="M92" i="6" s="1"/>
  <c r="H92" i="6"/>
  <c r="G92" i="6"/>
  <c r="L91" i="6"/>
  <c r="I91" i="6"/>
  <c r="H91" i="6"/>
  <c r="G91" i="6"/>
  <c r="J91" i="6" s="1"/>
  <c r="M91" i="6" s="1"/>
  <c r="M90" i="6"/>
  <c r="J90" i="6"/>
  <c r="H90" i="6"/>
  <c r="G90" i="6"/>
  <c r="H89" i="6"/>
  <c r="G89" i="6"/>
  <c r="M88" i="6"/>
  <c r="J88" i="6"/>
  <c r="H88" i="6"/>
  <c r="I88" i="6" s="1"/>
  <c r="G88" i="6"/>
  <c r="L88" i="6" s="1"/>
  <c r="H87" i="6"/>
  <c r="G87" i="6"/>
  <c r="J87" i="6" s="1"/>
  <c r="M87" i="6" s="1"/>
  <c r="J86" i="6"/>
  <c r="M86" i="6" s="1"/>
  <c r="H86" i="6"/>
  <c r="I86" i="6" s="1"/>
  <c r="G86" i="6"/>
  <c r="I85" i="6"/>
  <c r="L85" i="6" s="1"/>
  <c r="H85" i="6"/>
  <c r="G85" i="6"/>
  <c r="J85" i="6" s="1"/>
  <c r="M85" i="6" s="1"/>
  <c r="J84" i="6"/>
  <c r="M84" i="6" s="1"/>
  <c r="H84" i="6"/>
  <c r="G84" i="6"/>
  <c r="L83" i="6"/>
  <c r="I83" i="6"/>
  <c r="H83" i="6"/>
  <c r="G83" i="6"/>
  <c r="J83" i="6" s="1"/>
  <c r="M83" i="6" s="1"/>
  <c r="M82" i="6"/>
  <c r="J82" i="6"/>
  <c r="H82" i="6"/>
  <c r="G82" i="6"/>
  <c r="H81" i="6"/>
  <c r="G81" i="6"/>
  <c r="M80" i="6"/>
  <c r="J80" i="6"/>
  <c r="H80" i="6"/>
  <c r="I80" i="6" s="1"/>
  <c r="G80" i="6"/>
  <c r="L80" i="6" s="1"/>
  <c r="H79" i="6"/>
  <c r="G79" i="6"/>
  <c r="J79" i="6" s="1"/>
  <c r="M79" i="6" s="1"/>
  <c r="J78" i="6"/>
  <c r="M78" i="6" s="1"/>
  <c r="H78" i="6"/>
  <c r="I78" i="6" s="1"/>
  <c r="G78" i="6"/>
  <c r="I77" i="6"/>
  <c r="L77" i="6" s="1"/>
  <c r="H77" i="6"/>
  <c r="G77" i="6"/>
  <c r="J77" i="6" s="1"/>
  <c r="M77" i="6" s="1"/>
  <c r="J76" i="6"/>
  <c r="M76" i="6" s="1"/>
  <c r="H76" i="6"/>
  <c r="G76" i="6"/>
  <c r="L75" i="6"/>
  <c r="I75" i="6"/>
  <c r="H75" i="6"/>
  <c r="G75" i="6"/>
  <c r="J75" i="6" s="1"/>
  <c r="M75" i="6" s="1"/>
  <c r="M74" i="6"/>
  <c r="J74" i="6"/>
  <c r="H74" i="6"/>
  <c r="I74" i="6" s="1"/>
  <c r="G74" i="6"/>
  <c r="L73" i="6"/>
  <c r="I73" i="6"/>
  <c r="H73" i="6"/>
  <c r="G73" i="6"/>
  <c r="J73" i="6" s="1"/>
  <c r="M73" i="6" s="1"/>
  <c r="H72" i="6"/>
  <c r="G72" i="6"/>
  <c r="J71" i="6"/>
  <c r="M71" i="6" s="1"/>
  <c r="I71" i="6"/>
  <c r="H71" i="6"/>
  <c r="G71" i="6"/>
  <c r="L71" i="6" s="1"/>
  <c r="H70" i="6"/>
  <c r="G70" i="6"/>
  <c r="H69" i="6"/>
  <c r="I69" i="6" s="1"/>
  <c r="L69" i="6" s="1"/>
  <c r="G69" i="6"/>
  <c r="J69" i="6" s="1"/>
  <c r="M69" i="6" s="1"/>
  <c r="J68" i="6"/>
  <c r="H68" i="6"/>
  <c r="G68" i="6"/>
  <c r="M67" i="6"/>
  <c r="J67" i="6"/>
  <c r="I67" i="6"/>
  <c r="H67" i="6"/>
  <c r="G67" i="6"/>
  <c r="H66" i="6"/>
  <c r="G66" i="6"/>
  <c r="H65" i="6"/>
  <c r="G65" i="6"/>
  <c r="J64" i="6"/>
  <c r="H64" i="6"/>
  <c r="G64" i="6"/>
  <c r="M63" i="6"/>
  <c r="J63" i="6"/>
  <c r="I63" i="6"/>
  <c r="H63" i="6"/>
  <c r="G63" i="6"/>
  <c r="H62" i="6"/>
  <c r="G62" i="6"/>
  <c r="H61" i="6"/>
  <c r="G61" i="6"/>
  <c r="J61" i="6" s="1"/>
  <c r="M61" i="6" s="1"/>
  <c r="J60" i="6"/>
  <c r="H60" i="6"/>
  <c r="G60" i="6"/>
  <c r="M59" i="6"/>
  <c r="J59" i="6"/>
  <c r="I59" i="6"/>
  <c r="H59" i="6"/>
  <c r="G59" i="6"/>
  <c r="L59" i="6" s="1"/>
  <c r="H58" i="6"/>
  <c r="G58" i="6"/>
  <c r="H57" i="6"/>
  <c r="G57" i="6"/>
  <c r="J57" i="6" s="1"/>
  <c r="M57" i="6" s="1"/>
  <c r="J56" i="6"/>
  <c r="H56" i="6"/>
  <c r="G56" i="6"/>
  <c r="M55" i="6"/>
  <c r="J55" i="6"/>
  <c r="H55" i="6"/>
  <c r="I55" i="6" s="1"/>
  <c r="G55" i="6"/>
  <c r="M54" i="6"/>
  <c r="H54" i="6"/>
  <c r="G54" i="6"/>
  <c r="J54" i="6" s="1"/>
  <c r="H53" i="6"/>
  <c r="G53" i="6"/>
  <c r="J53" i="6" s="1"/>
  <c r="M53" i="6" s="1"/>
  <c r="J52" i="6"/>
  <c r="M52" i="6" s="1"/>
  <c r="I52" i="6"/>
  <c r="H52" i="6"/>
  <c r="G52" i="6"/>
  <c r="L52" i="6" s="1"/>
  <c r="M51" i="6"/>
  <c r="J51" i="6"/>
  <c r="I51" i="6"/>
  <c r="H51" i="6"/>
  <c r="G51" i="6"/>
  <c r="M50" i="6"/>
  <c r="H50" i="6"/>
  <c r="G50" i="6"/>
  <c r="J50" i="6" s="1"/>
  <c r="J49" i="6"/>
  <c r="M49" i="6" s="1"/>
  <c r="H49" i="6"/>
  <c r="G49" i="6"/>
  <c r="J48" i="6"/>
  <c r="H48" i="6"/>
  <c r="G48" i="6"/>
  <c r="M47" i="6"/>
  <c r="J47" i="6"/>
  <c r="H47" i="6"/>
  <c r="I47" i="6" s="1"/>
  <c r="G47" i="6"/>
  <c r="M46" i="6"/>
  <c r="H46" i="6"/>
  <c r="I46" i="6" s="1"/>
  <c r="L46" i="6" s="1"/>
  <c r="G46" i="6"/>
  <c r="J46" i="6" s="1"/>
  <c r="J45" i="6"/>
  <c r="M45" i="6" s="1"/>
  <c r="H45" i="6"/>
  <c r="I45" i="6" s="1"/>
  <c r="L45" i="6" s="1"/>
  <c r="G45" i="6"/>
  <c r="J44" i="6"/>
  <c r="M44" i="6" s="1"/>
  <c r="I44" i="6"/>
  <c r="H44" i="6"/>
  <c r="G44" i="6"/>
  <c r="M43" i="6"/>
  <c r="J43" i="6"/>
  <c r="H43" i="6"/>
  <c r="I43" i="6" s="1"/>
  <c r="G43" i="6"/>
  <c r="H42" i="6"/>
  <c r="G42" i="6"/>
  <c r="H41" i="6"/>
  <c r="G41" i="6"/>
  <c r="J40" i="6"/>
  <c r="M40" i="6" s="1"/>
  <c r="I40" i="6"/>
  <c r="H40" i="6"/>
  <c r="G40" i="6"/>
  <c r="L40" i="6" s="1"/>
  <c r="M39" i="6"/>
  <c r="J39" i="6"/>
  <c r="I39" i="6"/>
  <c r="H39" i="6"/>
  <c r="G39" i="6"/>
  <c r="M38" i="6"/>
  <c r="H38" i="6"/>
  <c r="G38" i="6"/>
  <c r="J38" i="6" s="1"/>
  <c r="J37" i="6"/>
  <c r="M37" i="6" s="1"/>
  <c r="H37" i="6"/>
  <c r="G37" i="6"/>
  <c r="J36" i="6"/>
  <c r="M36" i="6" s="1"/>
  <c r="H36" i="6"/>
  <c r="G36" i="6"/>
  <c r="M35" i="6"/>
  <c r="J35" i="6"/>
  <c r="I35" i="6"/>
  <c r="H35" i="6"/>
  <c r="G35" i="6"/>
  <c r="M34" i="6"/>
  <c r="L34" i="6"/>
  <c r="H34" i="6"/>
  <c r="I34" i="6" s="1"/>
  <c r="G34" i="6"/>
  <c r="J34" i="6" s="1"/>
  <c r="J33" i="6"/>
  <c r="M33" i="6" s="1"/>
  <c r="H33" i="6"/>
  <c r="G33" i="6"/>
  <c r="J32" i="6"/>
  <c r="M32" i="6" s="1"/>
  <c r="H32" i="6"/>
  <c r="G32" i="6"/>
  <c r="M31" i="6"/>
  <c r="J31" i="6"/>
  <c r="H31" i="6"/>
  <c r="I31" i="6" s="1"/>
  <c r="G31" i="6"/>
  <c r="H30" i="6"/>
  <c r="I30" i="6" s="1"/>
  <c r="G30" i="6"/>
  <c r="J30" i="6" s="1"/>
  <c r="M30" i="6" s="1"/>
  <c r="H29" i="6"/>
  <c r="G29" i="6"/>
  <c r="J28" i="6"/>
  <c r="M28" i="6" s="1"/>
  <c r="I28" i="6"/>
  <c r="H28" i="6"/>
  <c r="G28" i="6"/>
  <c r="M27" i="6"/>
  <c r="J27" i="6"/>
  <c r="H27" i="6"/>
  <c r="I27" i="6" s="1"/>
  <c r="G27" i="6"/>
  <c r="H26" i="6"/>
  <c r="G26" i="6"/>
  <c r="J26" i="6" s="1"/>
  <c r="M26" i="6" s="1"/>
  <c r="H25" i="6"/>
  <c r="G25" i="6"/>
  <c r="J25" i="6" s="1"/>
  <c r="M25" i="6" s="1"/>
  <c r="H24" i="6"/>
  <c r="G24" i="6"/>
  <c r="J24" i="6" s="1"/>
  <c r="M24" i="6" s="1"/>
  <c r="O24" i="6" s="1"/>
  <c r="H23" i="6"/>
  <c r="G23" i="6"/>
  <c r="J23" i="6" s="1"/>
  <c r="M23" i="6" s="1"/>
  <c r="O23" i="6" s="1"/>
  <c r="H22" i="6"/>
  <c r="G22" i="6"/>
  <c r="J22" i="6" s="1"/>
  <c r="M22" i="6" s="1"/>
  <c r="O22" i="6" s="1"/>
  <c r="H21" i="6"/>
  <c r="G21" i="6"/>
  <c r="J21" i="6" s="1"/>
  <c r="M21" i="6" s="1"/>
  <c r="H20" i="6"/>
  <c r="I20" i="6" s="1"/>
  <c r="G20" i="6"/>
  <c r="J20" i="6" s="1"/>
  <c r="M20" i="6" s="1"/>
  <c r="O20" i="6" s="1"/>
  <c r="L19" i="6"/>
  <c r="I19" i="6"/>
  <c r="H19" i="6"/>
  <c r="G19" i="6"/>
  <c r="J19" i="6" s="1"/>
  <c r="M19" i="6" s="1"/>
  <c r="O19" i="6" s="1"/>
  <c r="H18" i="6"/>
  <c r="I18" i="6" s="1"/>
  <c r="G18" i="6"/>
  <c r="J18" i="6" s="1"/>
  <c r="M18" i="6" s="1"/>
  <c r="L17" i="6"/>
  <c r="I17" i="6"/>
  <c r="H17" i="6"/>
  <c r="G17" i="6"/>
  <c r="J17" i="6" s="1"/>
  <c r="M17" i="6" s="1"/>
  <c r="J16" i="6"/>
  <c r="M16" i="6" s="1"/>
  <c r="O16" i="6" s="1"/>
  <c r="H16" i="6"/>
  <c r="G16" i="6"/>
  <c r="M15" i="6"/>
  <c r="O15" i="6" s="1"/>
  <c r="J15" i="6"/>
  <c r="H15" i="6"/>
  <c r="I15" i="6" s="1"/>
  <c r="G15" i="6"/>
  <c r="H14" i="6"/>
  <c r="G14" i="6"/>
  <c r="M13" i="6"/>
  <c r="J13" i="6"/>
  <c r="H13" i="6"/>
  <c r="I13" i="6" s="1"/>
  <c r="G13" i="6"/>
  <c r="H12" i="6"/>
  <c r="G12" i="6"/>
  <c r="C12" i="6"/>
  <c r="H11" i="6"/>
  <c r="G11" i="6"/>
  <c r="C11" i="6"/>
  <c r="J10" i="6"/>
  <c r="M10" i="6" s="1"/>
  <c r="I10" i="6"/>
  <c r="H10" i="6"/>
  <c r="G10" i="6"/>
  <c r="J9" i="6"/>
  <c r="M9" i="6" s="1"/>
  <c r="H9" i="6"/>
  <c r="G9" i="6"/>
  <c r="J8" i="6"/>
  <c r="I8" i="6" s="1"/>
  <c r="H8" i="6"/>
  <c r="G8" i="6"/>
  <c r="L8" i="6" s="1"/>
  <c r="P8" i="6" s="1"/>
  <c r="Q8" i="6" s="1"/>
  <c r="H7" i="6"/>
  <c r="G7" i="6"/>
  <c r="H6" i="6"/>
  <c r="G6" i="6"/>
  <c r="O5" i="6"/>
  <c r="M5" i="6"/>
  <c r="J5" i="6"/>
  <c r="I5" i="6"/>
  <c r="H5" i="6"/>
  <c r="G5" i="6"/>
  <c r="L5" i="6" s="1"/>
  <c r="P5" i="6" s="1"/>
  <c r="Q5" i="6" s="1"/>
  <c r="S4" i="6"/>
  <c r="H4" i="6"/>
  <c r="G4" i="6"/>
  <c r="S3" i="6"/>
  <c r="H3" i="6"/>
  <c r="G3" i="6"/>
  <c r="M2" i="6"/>
  <c r="J2" i="6"/>
  <c r="S6" i="6" s="1"/>
  <c r="I2" i="6"/>
  <c r="G2" i="6"/>
  <c r="L2" i="6" s="1"/>
  <c r="Q2" i="6" s="1"/>
  <c r="G7" i="5"/>
  <c r="H7" i="5"/>
  <c r="K7" i="5"/>
  <c r="J7" i="5" s="1"/>
  <c r="N7" i="5"/>
  <c r="G8" i="5"/>
  <c r="H8" i="5"/>
  <c r="K8" i="5"/>
  <c r="J8" i="5" s="1"/>
  <c r="P8" i="5" s="1"/>
  <c r="L8" i="5" s="1"/>
  <c r="N8" i="5"/>
  <c r="G9" i="5"/>
  <c r="H9" i="5"/>
  <c r="K9" i="5"/>
  <c r="J9" i="5" s="1"/>
  <c r="G10" i="5"/>
  <c r="H10" i="5"/>
  <c r="K10" i="5"/>
  <c r="G11" i="5"/>
  <c r="H11" i="5"/>
  <c r="I11" i="5" s="1"/>
  <c r="J11" i="5"/>
  <c r="K11" i="5"/>
  <c r="P11" i="5"/>
  <c r="L11" i="5" s="1"/>
  <c r="G12" i="5"/>
  <c r="H12" i="5"/>
  <c r="K12" i="5"/>
  <c r="G13" i="5"/>
  <c r="J13" i="5" s="1"/>
  <c r="O13" i="5" s="1"/>
  <c r="Q13" i="5" s="1"/>
  <c r="H13" i="5"/>
  <c r="I13" i="5" s="1"/>
  <c r="K13" i="5"/>
  <c r="N13" i="5"/>
  <c r="G14" i="5"/>
  <c r="H14" i="5"/>
  <c r="K14" i="5"/>
  <c r="G15" i="5"/>
  <c r="H15" i="5"/>
  <c r="K15" i="5"/>
  <c r="G16" i="5"/>
  <c r="H16" i="5"/>
  <c r="K16" i="5"/>
  <c r="G17" i="5"/>
  <c r="H17" i="5"/>
  <c r="J17" i="5"/>
  <c r="I17" i="5" s="1"/>
  <c r="K17" i="5"/>
  <c r="G18" i="5"/>
  <c r="H18" i="5"/>
  <c r="K18" i="5"/>
  <c r="G19" i="5"/>
  <c r="H19" i="5"/>
  <c r="K19" i="5"/>
  <c r="G20" i="5"/>
  <c r="H20" i="5"/>
  <c r="K20" i="5"/>
  <c r="G21" i="5"/>
  <c r="H21" i="5"/>
  <c r="K21" i="5"/>
  <c r="G22" i="5"/>
  <c r="H22" i="5"/>
  <c r="K22" i="5"/>
  <c r="G23" i="5"/>
  <c r="H23" i="5"/>
  <c r="K23" i="5"/>
  <c r="J23" i="5" s="1"/>
  <c r="G24" i="5"/>
  <c r="H24" i="5"/>
  <c r="K24" i="5"/>
  <c r="G25" i="5"/>
  <c r="H25" i="5"/>
  <c r="K25" i="5"/>
  <c r="G26" i="5"/>
  <c r="H26" i="5"/>
  <c r="K26" i="5"/>
  <c r="G27" i="5"/>
  <c r="H27" i="5"/>
  <c r="J27" i="5"/>
  <c r="K27" i="5"/>
  <c r="G28" i="5"/>
  <c r="H28" i="5"/>
  <c r="J28" i="5"/>
  <c r="K28" i="5"/>
  <c r="G29" i="5"/>
  <c r="H29" i="5"/>
  <c r="K29" i="5"/>
  <c r="J29" i="5" s="1"/>
  <c r="P29" i="5" s="1"/>
  <c r="L29" i="5" s="1"/>
  <c r="G30" i="5"/>
  <c r="H30" i="5"/>
  <c r="K30" i="5"/>
  <c r="G31" i="5"/>
  <c r="H31" i="5"/>
  <c r="K31" i="5"/>
  <c r="J31" i="5" s="1"/>
  <c r="N31" i="5"/>
  <c r="G32" i="5"/>
  <c r="H32" i="5"/>
  <c r="K32" i="5"/>
  <c r="G33" i="5"/>
  <c r="H33" i="5"/>
  <c r="K33" i="5"/>
  <c r="G34" i="5"/>
  <c r="H34" i="5"/>
  <c r="K34" i="5"/>
  <c r="G35" i="5"/>
  <c r="H35" i="5"/>
  <c r="K35" i="5"/>
  <c r="J35" i="5" s="1"/>
  <c r="G36" i="5"/>
  <c r="H36" i="5"/>
  <c r="K36" i="5"/>
  <c r="J36" i="5" s="1"/>
  <c r="G37" i="5"/>
  <c r="H37" i="5"/>
  <c r="K37" i="5"/>
  <c r="G38" i="5"/>
  <c r="H38" i="5"/>
  <c r="K38" i="5"/>
  <c r="G39" i="5"/>
  <c r="H39" i="5"/>
  <c r="K39" i="5"/>
  <c r="J39" i="5" s="1"/>
  <c r="N39" i="5"/>
  <c r="G40" i="5"/>
  <c r="H40" i="5"/>
  <c r="K40" i="5"/>
  <c r="J40" i="5" s="1"/>
  <c r="P40" i="5" s="1"/>
  <c r="L40" i="5" s="1"/>
  <c r="N40" i="5"/>
  <c r="G41" i="5"/>
  <c r="H41" i="5"/>
  <c r="K41" i="5"/>
  <c r="J41" i="5" s="1"/>
  <c r="G42" i="5"/>
  <c r="H42" i="5"/>
  <c r="K42" i="5"/>
  <c r="J42" i="5" s="1"/>
  <c r="G43" i="5"/>
  <c r="H43" i="5"/>
  <c r="K43" i="5"/>
  <c r="J43" i="5" s="1"/>
  <c r="P43" i="5" s="1"/>
  <c r="L43" i="5" s="1"/>
  <c r="G44" i="5"/>
  <c r="H44" i="5"/>
  <c r="K44" i="5"/>
  <c r="J44" i="5" s="1"/>
  <c r="G45" i="5"/>
  <c r="H45" i="5"/>
  <c r="K45" i="5"/>
  <c r="G46" i="5"/>
  <c r="H46" i="5"/>
  <c r="K46" i="5"/>
  <c r="G47" i="5"/>
  <c r="H47" i="5"/>
  <c r="K47" i="5"/>
  <c r="G48" i="5"/>
  <c r="H48" i="5"/>
  <c r="K48" i="5"/>
  <c r="G49" i="5"/>
  <c r="H49" i="5"/>
  <c r="J49" i="5"/>
  <c r="I49" i="5" s="1"/>
  <c r="K49" i="5"/>
  <c r="G50" i="5"/>
  <c r="H50" i="5"/>
  <c r="K50" i="5"/>
  <c r="G51" i="5"/>
  <c r="H51" i="5"/>
  <c r="K51" i="5"/>
  <c r="G52" i="5"/>
  <c r="H52" i="5"/>
  <c r="K52" i="5"/>
  <c r="G53" i="5"/>
  <c r="H53" i="5"/>
  <c r="K53" i="5"/>
  <c r="G54" i="5"/>
  <c r="H54" i="5"/>
  <c r="K54" i="5"/>
  <c r="J54" i="5" s="1"/>
  <c r="G55" i="5"/>
  <c r="H55" i="5"/>
  <c r="K55" i="5"/>
  <c r="G56" i="5"/>
  <c r="H56" i="5"/>
  <c r="K56" i="5"/>
  <c r="G57" i="5"/>
  <c r="H57" i="5"/>
  <c r="K57" i="5"/>
  <c r="J57" i="5" s="1"/>
  <c r="G58" i="5"/>
  <c r="H58" i="5"/>
  <c r="K58" i="5"/>
  <c r="G59" i="5"/>
  <c r="H59" i="5"/>
  <c r="J59" i="5"/>
  <c r="K59" i="5"/>
  <c r="G60" i="5"/>
  <c r="H60" i="5"/>
  <c r="K60" i="5"/>
  <c r="J60" i="5" s="1"/>
  <c r="G61" i="5"/>
  <c r="H61" i="5"/>
  <c r="K61" i="5"/>
  <c r="J61" i="5" s="1"/>
  <c r="P61" i="5"/>
  <c r="L61" i="5" s="1"/>
  <c r="G62" i="5"/>
  <c r="H62" i="5"/>
  <c r="K62" i="5"/>
  <c r="G63" i="5"/>
  <c r="H63" i="5"/>
  <c r="K63" i="5"/>
  <c r="G64" i="5"/>
  <c r="H64" i="5"/>
  <c r="K64" i="5"/>
  <c r="G65" i="5"/>
  <c r="H65" i="5"/>
  <c r="K65" i="5"/>
  <c r="G66" i="5"/>
  <c r="H66" i="5"/>
  <c r="K66" i="5"/>
  <c r="G67" i="5"/>
  <c r="H67" i="5"/>
  <c r="J67" i="5"/>
  <c r="K67" i="5"/>
  <c r="G68" i="5"/>
  <c r="H68" i="5"/>
  <c r="J68" i="5"/>
  <c r="K68" i="5"/>
  <c r="G69" i="5"/>
  <c r="H69" i="5"/>
  <c r="K69" i="5"/>
  <c r="G70" i="5"/>
  <c r="H70" i="5"/>
  <c r="K70" i="5"/>
  <c r="J70" i="5" s="1"/>
  <c r="O70" i="5" s="1"/>
  <c r="Q70" i="5" s="1"/>
  <c r="N70" i="5"/>
  <c r="G71" i="5"/>
  <c r="H71" i="5"/>
  <c r="K71" i="5"/>
  <c r="J71" i="5" s="1"/>
  <c r="G72" i="5"/>
  <c r="H72" i="5"/>
  <c r="K72" i="5"/>
  <c r="G73" i="5"/>
  <c r="H73" i="5"/>
  <c r="K73" i="5"/>
  <c r="G74" i="5"/>
  <c r="H74" i="5"/>
  <c r="K74" i="5"/>
  <c r="G75" i="5"/>
  <c r="H75" i="5"/>
  <c r="K75" i="5"/>
  <c r="G76" i="5"/>
  <c r="H76" i="5"/>
  <c r="K76" i="5"/>
  <c r="J76" i="5" s="1"/>
  <c r="P76" i="5"/>
  <c r="L76" i="5" s="1"/>
  <c r="G77" i="5"/>
  <c r="H77" i="5"/>
  <c r="K77" i="5"/>
  <c r="J77" i="5" s="1"/>
  <c r="N77" i="5"/>
  <c r="G78" i="5"/>
  <c r="H78" i="5"/>
  <c r="K78" i="5"/>
  <c r="J78" i="5" s="1"/>
  <c r="G79" i="5"/>
  <c r="H79" i="5"/>
  <c r="K79" i="5"/>
  <c r="J79" i="5" s="1"/>
  <c r="G80" i="5"/>
  <c r="H80" i="5"/>
  <c r="K80" i="5"/>
  <c r="G81" i="5"/>
  <c r="H81" i="5"/>
  <c r="K81" i="5"/>
  <c r="G82" i="5"/>
  <c r="H82" i="5"/>
  <c r="K82" i="5"/>
  <c r="J82" i="5" s="1"/>
  <c r="G83" i="5"/>
  <c r="H83" i="5"/>
  <c r="K83" i="5"/>
  <c r="J83" i="5" s="1"/>
  <c r="G84" i="5"/>
  <c r="H84" i="5"/>
  <c r="K84" i="5"/>
  <c r="J84" i="5" s="1"/>
  <c r="G85" i="5"/>
  <c r="H85" i="5"/>
  <c r="K85" i="5"/>
  <c r="J85" i="5" s="1"/>
  <c r="G86" i="5"/>
  <c r="H86" i="5"/>
  <c r="K86" i="5"/>
  <c r="G87" i="5"/>
  <c r="H87" i="5"/>
  <c r="K87" i="5"/>
  <c r="G88" i="5"/>
  <c r="H88" i="5"/>
  <c r="K88" i="5"/>
  <c r="G89" i="5"/>
  <c r="H89" i="5"/>
  <c r="J89" i="5"/>
  <c r="N89" i="5" s="1"/>
  <c r="K89" i="5"/>
  <c r="G90" i="5"/>
  <c r="H90" i="5"/>
  <c r="K90" i="5"/>
  <c r="G91" i="5"/>
  <c r="H91" i="5"/>
  <c r="K91" i="5"/>
  <c r="J91" i="5" s="1"/>
  <c r="N91" i="5" s="1"/>
  <c r="G92" i="5"/>
  <c r="H92" i="5"/>
  <c r="K92" i="5"/>
  <c r="J92" i="5" s="1"/>
  <c r="G93" i="5"/>
  <c r="H93" i="5"/>
  <c r="K93" i="5"/>
  <c r="J93" i="5" s="1"/>
  <c r="P93" i="5" s="1"/>
  <c r="L93" i="5" s="1"/>
  <c r="G94" i="5"/>
  <c r="H94" i="5"/>
  <c r="K94" i="5"/>
  <c r="J94" i="5" s="1"/>
  <c r="P94" i="5" s="1"/>
  <c r="L94" i="5" s="1"/>
  <c r="G95" i="5"/>
  <c r="H95" i="5"/>
  <c r="K95" i="5"/>
  <c r="J95" i="5" s="1"/>
  <c r="G96" i="5"/>
  <c r="H96" i="5"/>
  <c r="K96" i="5"/>
  <c r="J96" i="5" s="1"/>
  <c r="G97" i="5"/>
  <c r="H97" i="5"/>
  <c r="K97" i="5"/>
  <c r="J97" i="5" s="1"/>
  <c r="G98" i="5"/>
  <c r="H98" i="5"/>
  <c r="K98" i="5"/>
  <c r="G99" i="5"/>
  <c r="H99" i="5"/>
  <c r="K99" i="5"/>
  <c r="G100" i="5"/>
  <c r="H100" i="5"/>
  <c r="K100" i="5"/>
  <c r="J100" i="5" s="1"/>
  <c r="N100" i="5" s="1"/>
  <c r="G101" i="5"/>
  <c r="H101" i="5"/>
  <c r="K101" i="5"/>
  <c r="J101" i="5" s="1"/>
  <c r="O101" i="5" s="1"/>
  <c r="Q101" i="5" s="1"/>
  <c r="G102" i="5"/>
  <c r="H102" i="5"/>
  <c r="K102" i="5"/>
  <c r="J102" i="5" s="1"/>
  <c r="G103" i="5"/>
  <c r="H103" i="5"/>
  <c r="K103" i="5"/>
  <c r="J103" i="5" s="1"/>
  <c r="G104" i="5"/>
  <c r="H104" i="5"/>
  <c r="K104" i="5"/>
  <c r="G105" i="5"/>
  <c r="H105" i="5"/>
  <c r="K105" i="5"/>
  <c r="G106" i="5"/>
  <c r="H106" i="5"/>
  <c r="K106" i="5"/>
  <c r="J106" i="5" s="1"/>
  <c r="P106" i="5" s="1"/>
  <c r="L106" i="5" s="1"/>
  <c r="G107" i="5"/>
  <c r="H107" i="5"/>
  <c r="K107" i="5"/>
  <c r="G108" i="5"/>
  <c r="H108" i="5"/>
  <c r="K108" i="5"/>
  <c r="G109" i="5"/>
  <c r="H109" i="5"/>
  <c r="K109" i="5"/>
  <c r="J109" i="5" s="1"/>
  <c r="G110" i="5"/>
  <c r="H110" i="5"/>
  <c r="K110" i="5"/>
  <c r="J110" i="5" s="1"/>
  <c r="I110" i="5" s="1"/>
  <c r="G111" i="5"/>
  <c r="H111" i="5"/>
  <c r="K111" i="5"/>
  <c r="G112" i="5"/>
  <c r="H112" i="5"/>
  <c r="K112" i="5"/>
  <c r="G113" i="5"/>
  <c r="H113" i="5"/>
  <c r="K113" i="5"/>
  <c r="J113" i="5" s="1"/>
  <c r="G114" i="5"/>
  <c r="H114" i="5"/>
  <c r="K114" i="5"/>
  <c r="G115" i="5"/>
  <c r="H115" i="5"/>
  <c r="K115" i="5"/>
  <c r="G116" i="5"/>
  <c r="H116" i="5"/>
  <c r="K116" i="5"/>
  <c r="J116" i="5" s="1"/>
  <c r="G117" i="5"/>
  <c r="H117" i="5"/>
  <c r="K117" i="5"/>
  <c r="G118" i="5"/>
  <c r="H118" i="5"/>
  <c r="K118" i="5"/>
  <c r="J118" i="5" s="1"/>
  <c r="G119" i="5"/>
  <c r="H119" i="5"/>
  <c r="K119" i="5"/>
  <c r="G120" i="5"/>
  <c r="H120" i="5"/>
  <c r="K120" i="5"/>
  <c r="J120" i="5" s="1"/>
  <c r="G121" i="5"/>
  <c r="H121" i="5"/>
  <c r="K121" i="5"/>
  <c r="G122" i="5"/>
  <c r="H122" i="5"/>
  <c r="K122" i="5"/>
  <c r="G123" i="5"/>
  <c r="H123" i="5"/>
  <c r="K123" i="5"/>
  <c r="J123" i="5" s="1"/>
  <c r="P123" i="5" s="1"/>
  <c r="L123" i="5" s="1"/>
  <c r="G124" i="5"/>
  <c r="H124" i="5"/>
  <c r="K124" i="5"/>
  <c r="J124" i="5" s="1"/>
  <c r="G125" i="5"/>
  <c r="H125" i="5"/>
  <c r="K125" i="5"/>
  <c r="G126" i="5"/>
  <c r="H126" i="5"/>
  <c r="K126" i="5"/>
  <c r="G127" i="5"/>
  <c r="H127" i="5"/>
  <c r="J127" i="5"/>
  <c r="I127" i="5" s="1"/>
  <c r="K127" i="5"/>
  <c r="G128" i="5"/>
  <c r="H128" i="5"/>
  <c r="J128" i="5"/>
  <c r="O128" i="5" s="1"/>
  <c r="Q128" i="5" s="1"/>
  <c r="K128" i="5"/>
  <c r="G129" i="5"/>
  <c r="H129" i="5"/>
  <c r="K129" i="5"/>
  <c r="J129" i="5" s="1"/>
  <c r="G130" i="5"/>
  <c r="H130" i="5"/>
  <c r="K130" i="5"/>
  <c r="G131" i="5"/>
  <c r="H131" i="5"/>
  <c r="K131" i="5"/>
  <c r="G132" i="5"/>
  <c r="H132" i="5"/>
  <c r="K132" i="5"/>
  <c r="J132" i="5" s="1"/>
  <c r="N132" i="5" s="1"/>
  <c r="G133" i="5"/>
  <c r="H133" i="5"/>
  <c r="K133" i="5"/>
  <c r="G134" i="5"/>
  <c r="H134" i="5"/>
  <c r="K134" i="5"/>
  <c r="G135" i="5"/>
  <c r="H135" i="5"/>
  <c r="K135" i="5"/>
  <c r="J135" i="5" s="1"/>
  <c r="G136" i="5"/>
  <c r="H136" i="5"/>
  <c r="K136" i="5"/>
  <c r="G137" i="5"/>
  <c r="H137" i="5"/>
  <c r="K137" i="5"/>
  <c r="G138" i="5"/>
  <c r="H138" i="5"/>
  <c r="K138" i="5"/>
  <c r="J138" i="5" s="1"/>
  <c r="N138" i="5" s="1"/>
  <c r="G6" i="5"/>
  <c r="H6" i="5"/>
  <c r="K6" i="5"/>
  <c r="J6" i="5" s="1"/>
  <c r="K3" i="5"/>
  <c r="K4" i="5"/>
  <c r="K5" i="5"/>
  <c r="K2" i="5"/>
  <c r="H5" i="5"/>
  <c r="G5" i="5"/>
  <c r="H4" i="5"/>
  <c r="G4" i="5"/>
  <c r="H3" i="5"/>
  <c r="G3" i="5"/>
  <c r="J3" i="5" s="1"/>
  <c r="N3" i="5" s="1"/>
  <c r="I24" i="9"/>
  <c r="I29" i="9"/>
  <c r="H31" i="9"/>
  <c r="H33" i="9"/>
  <c r="I28" i="9"/>
  <c r="I25" i="9"/>
  <c r="I27" i="9"/>
  <c r="H29" i="9"/>
  <c r="I31" i="9"/>
  <c r="H28" i="9"/>
  <c r="I32" i="9"/>
  <c r="I33" i="9"/>
  <c r="H32" i="9"/>
  <c r="O9" i="9" l="1"/>
  <c r="P9" i="9" s="1"/>
  <c r="O10" i="9"/>
  <c r="P10" i="9" s="1"/>
  <c r="O17" i="9"/>
  <c r="P17" i="9" s="1"/>
  <c r="O6" i="9"/>
  <c r="P6" i="9" s="1"/>
  <c r="M8" i="9"/>
  <c r="O8" i="9" s="1"/>
  <c r="P8" i="9" s="1"/>
  <c r="O26" i="9"/>
  <c r="P26" i="9" s="1"/>
  <c r="O20" i="9"/>
  <c r="P20" i="9" s="1"/>
  <c r="J8" i="9"/>
  <c r="M19" i="9"/>
  <c r="O19" i="9" s="1"/>
  <c r="P19" i="9" s="1"/>
  <c r="J19" i="9"/>
  <c r="O22" i="9"/>
  <c r="P22" i="9" s="1"/>
  <c r="G21" i="8"/>
  <c r="H21" i="8" s="1"/>
  <c r="G20" i="8"/>
  <c r="H20" i="8" s="1"/>
  <c r="E20" i="8"/>
  <c r="M7" i="9"/>
  <c r="O7" i="9" s="1"/>
  <c r="P7" i="9" s="1"/>
  <c r="M18" i="9"/>
  <c r="O18" i="9" s="1"/>
  <c r="P18" i="9" s="1"/>
  <c r="P5" i="9"/>
  <c r="O12" i="9"/>
  <c r="P12" i="9" s="1"/>
  <c r="J7" i="9"/>
  <c r="J18" i="9"/>
  <c r="M31" i="9"/>
  <c r="O31" i="9" s="1"/>
  <c r="P31" i="9" s="1"/>
  <c r="M28" i="9"/>
  <c r="O28" i="9" s="1"/>
  <c r="P28" i="9" s="1"/>
  <c r="M25" i="9"/>
  <c r="O25" i="9" s="1"/>
  <c r="P25" i="9" s="1"/>
  <c r="M32" i="9"/>
  <c r="O32" i="9" s="1"/>
  <c r="P32" i="9" s="1"/>
  <c r="M15" i="9"/>
  <c r="O15" i="9" s="1"/>
  <c r="P15" i="9" s="1"/>
  <c r="M23" i="9"/>
  <c r="O23" i="9" s="1"/>
  <c r="P23" i="9" s="1"/>
  <c r="M29" i="9"/>
  <c r="O29" i="9" s="1"/>
  <c r="P29" i="9" s="1"/>
  <c r="M16" i="9"/>
  <c r="O16" i="9" s="1"/>
  <c r="P16" i="9" s="1"/>
  <c r="M27" i="9"/>
  <c r="O27" i="9" s="1"/>
  <c r="P27" i="9" s="1"/>
  <c r="M33" i="9"/>
  <c r="O33" i="9" s="1"/>
  <c r="P33" i="9" s="1"/>
  <c r="M11" i="9"/>
  <c r="O11" i="9" s="1"/>
  <c r="P11" i="9" s="1"/>
  <c r="M24" i="9"/>
  <c r="O24" i="9" s="1"/>
  <c r="P24" i="9" s="1"/>
  <c r="J31" i="9"/>
  <c r="J28" i="9"/>
  <c r="J25" i="9"/>
  <c r="J32" i="9"/>
  <c r="J15" i="9"/>
  <c r="J23" i="9"/>
  <c r="J29" i="9"/>
  <c r="J16" i="9"/>
  <c r="J27" i="9"/>
  <c r="J33" i="9"/>
  <c r="J11" i="9"/>
  <c r="J24" i="9"/>
  <c r="O21" i="9"/>
  <c r="P21" i="9" s="1"/>
  <c r="F21" i="8"/>
  <c r="E21" i="8"/>
  <c r="I20" i="8"/>
  <c r="H33" i="8"/>
  <c r="I21" i="8"/>
  <c r="D22" i="8"/>
  <c r="G22" i="8" s="1"/>
  <c r="H22" i="8" s="1"/>
  <c r="I35" i="7"/>
  <c r="L35" i="7" s="1"/>
  <c r="I39" i="7"/>
  <c r="T13" i="7"/>
  <c r="S13" i="7"/>
  <c r="T5" i="7"/>
  <c r="T2" i="7"/>
  <c r="S17" i="7"/>
  <c r="S5" i="7"/>
  <c r="N10" i="7"/>
  <c r="T8" i="7"/>
  <c r="S2" i="7"/>
  <c r="S16" i="7"/>
  <c r="S8" i="7"/>
  <c r="N2" i="7"/>
  <c r="I49" i="7"/>
  <c r="L49" i="7" s="1"/>
  <c r="T16" i="7"/>
  <c r="S19" i="7"/>
  <c r="S15" i="7"/>
  <c r="N19" i="7"/>
  <c r="T15" i="7"/>
  <c r="T10" i="7"/>
  <c r="M17" i="7"/>
  <c r="N17" i="7"/>
  <c r="I31" i="7"/>
  <c r="L31" i="7" s="1"/>
  <c r="I41" i="7"/>
  <c r="L41" i="7" s="1"/>
  <c r="N13" i="7"/>
  <c r="I120" i="7"/>
  <c r="L120" i="7" s="1"/>
  <c r="I28" i="7"/>
  <c r="L28" i="7" s="1"/>
  <c r="I32" i="7"/>
  <c r="L32" i="7" s="1"/>
  <c r="I60" i="7"/>
  <c r="L60" i="7" s="1"/>
  <c r="M78" i="7"/>
  <c r="I78" i="7"/>
  <c r="L78" i="7" s="1"/>
  <c r="M15" i="7"/>
  <c r="I88" i="7"/>
  <c r="L88" i="7" s="1"/>
  <c r="M13" i="7"/>
  <c r="L39" i="7"/>
  <c r="I42" i="7"/>
  <c r="L42" i="7" s="1"/>
  <c r="I62" i="7"/>
  <c r="L62" i="7" s="1"/>
  <c r="I74" i="7"/>
  <c r="I81" i="7"/>
  <c r="L81" i="7" s="1"/>
  <c r="I84" i="7"/>
  <c r="L84" i="7" s="1"/>
  <c r="I66" i="7"/>
  <c r="L66" i="7" s="1"/>
  <c r="I96" i="7"/>
  <c r="L96" i="7" s="1"/>
  <c r="I112" i="7"/>
  <c r="L112" i="7" s="1"/>
  <c r="I128" i="7"/>
  <c r="L128" i="7" s="1"/>
  <c r="I15" i="7"/>
  <c r="L15" i="7" s="1"/>
  <c r="U15" i="7" s="1"/>
  <c r="V15" i="7" s="1"/>
  <c r="I47" i="7"/>
  <c r="L47" i="7" s="1"/>
  <c r="I58" i="7"/>
  <c r="L58" i="7" s="1"/>
  <c r="I68" i="7"/>
  <c r="I90" i="7"/>
  <c r="L90" i="7" s="1"/>
  <c r="J108" i="7"/>
  <c r="M108" i="7" s="1"/>
  <c r="J124" i="7"/>
  <c r="M124" i="7" s="1"/>
  <c r="I138" i="7"/>
  <c r="I13" i="7"/>
  <c r="L13" i="7" s="1"/>
  <c r="U13" i="7" s="1"/>
  <c r="V13" i="7" s="1"/>
  <c r="I27" i="7"/>
  <c r="L27" i="7" s="1"/>
  <c r="I50" i="7"/>
  <c r="L50" i="7" s="1"/>
  <c r="I54" i="7"/>
  <c r="L54" i="7" s="1"/>
  <c r="I70" i="7"/>
  <c r="L70" i="7" s="1"/>
  <c r="I73" i="7"/>
  <c r="L73" i="7" s="1"/>
  <c r="I76" i="7"/>
  <c r="L76" i="7" s="1"/>
  <c r="I86" i="7"/>
  <c r="L86" i="7" s="1"/>
  <c r="I100" i="7"/>
  <c r="L100" i="7" s="1"/>
  <c r="J104" i="7"/>
  <c r="M104" i="7" s="1"/>
  <c r="I116" i="7"/>
  <c r="L116" i="7" s="1"/>
  <c r="I132" i="7"/>
  <c r="L132" i="7" s="1"/>
  <c r="I5" i="7"/>
  <c r="L5" i="7" s="1"/>
  <c r="U5" i="7" s="1"/>
  <c r="V5" i="7" s="1"/>
  <c r="M5" i="7"/>
  <c r="X6" i="7"/>
  <c r="I8" i="7"/>
  <c r="L8" i="7" s="1"/>
  <c r="U8" i="7" s="1"/>
  <c r="V8" i="7" s="1"/>
  <c r="M8" i="7"/>
  <c r="I10" i="7"/>
  <c r="L10" i="7" s="1"/>
  <c r="U10" i="7" s="1"/>
  <c r="V10" i="7" s="1"/>
  <c r="M10" i="7"/>
  <c r="M29" i="7"/>
  <c r="I29" i="7"/>
  <c r="M16" i="7"/>
  <c r="I16" i="7"/>
  <c r="L16" i="7" s="1"/>
  <c r="U16" i="7" s="1"/>
  <c r="V16" i="7" s="1"/>
  <c r="M27" i="7"/>
  <c r="L29" i="7"/>
  <c r="I57" i="7"/>
  <c r="L57" i="7" s="1"/>
  <c r="M57" i="7"/>
  <c r="I65" i="7"/>
  <c r="L65" i="7" s="1"/>
  <c r="M65" i="7"/>
  <c r="J72" i="7"/>
  <c r="I72" i="7" s="1"/>
  <c r="L72" i="7" s="1"/>
  <c r="M75" i="7"/>
  <c r="I75" i="7"/>
  <c r="L75" i="7" s="1"/>
  <c r="M80" i="7"/>
  <c r="M106" i="7"/>
  <c r="J4" i="7"/>
  <c r="J7" i="7"/>
  <c r="J9" i="7"/>
  <c r="J11" i="7"/>
  <c r="J12" i="7"/>
  <c r="J14" i="7"/>
  <c r="J18" i="7"/>
  <c r="J20" i="7"/>
  <c r="J22" i="7"/>
  <c r="I22" i="7" s="1"/>
  <c r="L22" i="7" s="1"/>
  <c r="J24" i="7"/>
  <c r="J26" i="7"/>
  <c r="I26" i="7" s="1"/>
  <c r="L26" i="7" s="1"/>
  <c r="M32" i="7"/>
  <c r="I36" i="7"/>
  <c r="L36" i="7" s="1"/>
  <c r="M40" i="7"/>
  <c r="I43" i="7"/>
  <c r="L43" i="7" s="1"/>
  <c r="I44" i="7"/>
  <c r="L44" i="7" s="1"/>
  <c r="M48" i="7"/>
  <c r="I51" i="7"/>
  <c r="L51" i="7" s="1"/>
  <c r="I52" i="7"/>
  <c r="L52" i="7" s="1"/>
  <c r="M60" i="7"/>
  <c r="M68" i="7"/>
  <c r="M76" i="7"/>
  <c r="I82" i="7"/>
  <c r="L82" i="7" s="1"/>
  <c r="J87" i="7"/>
  <c r="M98" i="7"/>
  <c r="M130" i="7"/>
  <c r="J6" i="7"/>
  <c r="I17" i="7"/>
  <c r="L17" i="7" s="1"/>
  <c r="I19" i="7"/>
  <c r="L19" i="7" s="1"/>
  <c r="I21" i="7"/>
  <c r="L21" i="7" s="1"/>
  <c r="I23" i="7"/>
  <c r="L23" i="7" s="1"/>
  <c r="I25" i="7"/>
  <c r="L25" i="7" s="1"/>
  <c r="M30" i="7"/>
  <c r="J33" i="7"/>
  <c r="I34" i="7"/>
  <c r="L34" i="7" s="1"/>
  <c r="I37" i="7"/>
  <c r="L37" i="7" s="1"/>
  <c r="I38" i="7"/>
  <c r="L38" i="7" s="1"/>
  <c r="I45" i="7"/>
  <c r="L45" i="7" s="1"/>
  <c r="I46" i="7"/>
  <c r="L46" i="7" s="1"/>
  <c r="I53" i="7"/>
  <c r="L53" i="7" s="1"/>
  <c r="I56" i="7"/>
  <c r="L56" i="7" s="1"/>
  <c r="I61" i="7"/>
  <c r="L61" i="7" s="1"/>
  <c r="M61" i="7"/>
  <c r="I64" i="7"/>
  <c r="L64" i="7" s="1"/>
  <c r="I69" i="7"/>
  <c r="L69" i="7" s="1"/>
  <c r="M69" i="7"/>
  <c r="M82" i="7"/>
  <c r="M122" i="7"/>
  <c r="I30" i="7"/>
  <c r="L30" i="7" s="1"/>
  <c r="I40" i="7"/>
  <c r="L40" i="7" s="1"/>
  <c r="I48" i="7"/>
  <c r="L48" i="7" s="1"/>
  <c r="M56" i="7"/>
  <c r="M64" i="7"/>
  <c r="L68" i="7"/>
  <c r="J77" i="7"/>
  <c r="M79" i="7"/>
  <c r="I79" i="7"/>
  <c r="L79" i="7" s="1"/>
  <c r="M114" i="7"/>
  <c r="J55" i="7"/>
  <c r="J59" i="7"/>
  <c r="J63" i="7"/>
  <c r="J67" i="7"/>
  <c r="J71" i="7"/>
  <c r="I83" i="7"/>
  <c r="L83" i="7" s="1"/>
  <c r="M90" i="7"/>
  <c r="I94" i="7"/>
  <c r="L94" i="7" s="1"/>
  <c r="I99" i="7"/>
  <c r="L99" i="7" s="1"/>
  <c r="M99" i="7"/>
  <c r="I102" i="7"/>
  <c r="L102" i="7" s="1"/>
  <c r="I107" i="7"/>
  <c r="L107" i="7" s="1"/>
  <c r="M107" i="7"/>
  <c r="I110" i="7"/>
  <c r="L110" i="7" s="1"/>
  <c r="I115" i="7"/>
  <c r="L115" i="7" s="1"/>
  <c r="M115" i="7"/>
  <c r="I118" i="7"/>
  <c r="L118" i="7" s="1"/>
  <c r="I123" i="7"/>
  <c r="L123" i="7" s="1"/>
  <c r="M123" i="7"/>
  <c r="I126" i="7"/>
  <c r="L126" i="7" s="1"/>
  <c r="I131" i="7"/>
  <c r="L131" i="7" s="1"/>
  <c r="M131" i="7"/>
  <c r="I134" i="7"/>
  <c r="L134" i="7" s="1"/>
  <c r="L138" i="7"/>
  <c r="I91" i="7"/>
  <c r="L91" i="7" s="1"/>
  <c r="M91" i="7"/>
  <c r="M94" i="7"/>
  <c r="M102" i="7"/>
  <c r="M110" i="7"/>
  <c r="M118" i="7"/>
  <c r="M126" i="7"/>
  <c r="M134" i="7"/>
  <c r="L74" i="7"/>
  <c r="I80" i="7"/>
  <c r="L80" i="7" s="1"/>
  <c r="M86" i="7"/>
  <c r="I95" i="7"/>
  <c r="L95" i="7" s="1"/>
  <c r="M95" i="7"/>
  <c r="I98" i="7"/>
  <c r="L98" i="7" s="1"/>
  <c r="I103" i="7"/>
  <c r="L103" i="7" s="1"/>
  <c r="M103" i="7"/>
  <c r="I106" i="7"/>
  <c r="L106" i="7" s="1"/>
  <c r="I111" i="7"/>
  <c r="L111" i="7" s="1"/>
  <c r="M111" i="7"/>
  <c r="I114" i="7"/>
  <c r="L114" i="7" s="1"/>
  <c r="I119" i="7"/>
  <c r="L119" i="7" s="1"/>
  <c r="M119" i="7"/>
  <c r="I122" i="7"/>
  <c r="L122" i="7" s="1"/>
  <c r="I127" i="7"/>
  <c r="L127" i="7" s="1"/>
  <c r="M127" i="7"/>
  <c r="I130" i="7"/>
  <c r="L130" i="7" s="1"/>
  <c r="I135" i="7"/>
  <c r="L135" i="7" s="1"/>
  <c r="M135" i="7"/>
  <c r="M138" i="7"/>
  <c r="J85" i="7"/>
  <c r="J89" i="7"/>
  <c r="J93" i="7"/>
  <c r="J97" i="7"/>
  <c r="J101" i="7"/>
  <c r="J105" i="7"/>
  <c r="J109" i="7"/>
  <c r="J113" i="7"/>
  <c r="J117" i="7"/>
  <c r="J121" i="7"/>
  <c r="J125" i="7"/>
  <c r="J129" i="7"/>
  <c r="J133" i="7"/>
  <c r="J137" i="7"/>
  <c r="J92" i="7"/>
  <c r="I92" i="7" s="1"/>
  <c r="L92" i="7" s="1"/>
  <c r="J136" i="7"/>
  <c r="I136" i="7" s="1"/>
  <c r="L136" i="7" s="1"/>
  <c r="O17" i="6"/>
  <c r="O18" i="6"/>
  <c r="O21" i="6"/>
  <c r="O25" i="6"/>
  <c r="O13" i="6"/>
  <c r="O9" i="6"/>
  <c r="O10" i="6"/>
  <c r="I4" i="6"/>
  <c r="L4" i="6" s="1"/>
  <c r="P4" i="6" s="1"/>
  <c r="Q4" i="6" s="1"/>
  <c r="I7" i="6"/>
  <c r="L7" i="6" s="1"/>
  <c r="P7" i="6" s="1"/>
  <c r="Q7" i="6" s="1"/>
  <c r="I21" i="6"/>
  <c r="L21" i="6" s="1"/>
  <c r="I22" i="6"/>
  <c r="I23" i="6"/>
  <c r="I24" i="6"/>
  <c r="I25" i="6"/>
  <c r="L25" i="6" s="1"/>
  <c r="I26" i="6"/>
  <c r="J29" i="6"/>
  <c r="M29" i="6" s="1"/>
  <c r="L30" i="6"/>
  <c r="L32" i="6"/>
  <c r="L39" i="6"/>
  <c r="J42" i="6"/>
  <c r="M42" i="6" s="1"/>
  <c r="L42" i="6"/>
  <c r="J65" i="6"/>
  <c r="M65" i="6" s="1"/>
  <c r="J4" i="6"/>
  <c r="M4" i="6" s="1"/>
  <c r="O4" i="6" s="1"/>
  <c r="J7" i="6"/>
  <c r="M7" i="6" s="1"/>
  <c r="O7" i="6" s="1"/>
  <c r="M8" i="6"/>
  <c r="O8" i="6" s="1"/>
  <c r="L10" i="6"/>
  <c r="P10" i="6" s="1"/>
  <c r="Q10" i="6" s="1"/>
  <c r="J11" i="6"/>
  <c r="J12" i="6"/>
  <c r="M12" i="6" s="1"/>
  <c r="O12" i="6" s="1"/>
  <c r="J14" i="6"/>
  <c r="M14" i="6" s="1"/>
  <c r="O14" i="6" s="1"/>
  <c r="L18" i="6"/>
  <c r="L20" i="6"/>
  <c r="L22" i="6"/>
  <c r="L23" i="6"/>
  <c r="L24" i="6"/>
  <c r="L26" i="6"/>
  <c r="L28" i="6"/>
  <c r="L35" i="6"/>
  <c r="I36" i="6"/>
  <c r="I37" i="6"/>
  <c r="L37" i="6" s="1"/>
  <c r="I38" i="6"/>
  <c r="L38" i="6" s="1"/>
  <c r="J3" i="6"/>
  <c r="M3" i="6" s="1"/>
  <c r="O3" i="6" s="1"/>
  <c r="J6" i="6"/>
  <c r="M6" i="6" s="1"/>
  <c r="O6" i="6" s="1"/>
  <c r="I9" i="6"/>
  <c r="L9" i="6" s="1"/>
  <c r="P9" i="6" s="1"/>
  <c r="Q9" i="6" s="1"/>
  <c r="I16" i="6"/>
  <c r="L16" i="6" s="1"/>
  <c r="P16" i="6" s="1"/>
  <c r="Q16" i="6" s="1"/>
  <c r="L31" i="6"/>
  <c r="I32" i="6"/>
  <c r="I33" i="6"/>
  <c r="L33" i="6" s="1"/>
  <c r="L41" i="6"/>
  <c r="J41" i="6"/>
  <c r="M41" i="6" s="1"/>
  <c r="L43" i="6"/>
  <c r="I60" i="6"/>
  <c r="M60" i="6"/>
  <c r="L13" i="6"/>
  <c r="P13" i="6" s="1"/>
  <c r="Q13" i="6" s="1"/>
  <c r="L15" i="6"/>
  <c r="P15" i="6" s="1"/>
  <c r="Q15" i="6" s="1"/>
  <c r="L27" i="6"/>
  <c r="I29" i="6"/>
  <c r="L29" i="6" s="1"/>
  <c r="L36" i="6"/>
  <c r="M48" i="6"/>
  <c r="I48" i="6"/>
  <c r="J81" i="6"/>
  <c r="J97" i="6"/>
  <c r="J113" i="6"/>
  <c r="I41" i="6"/>
  <c r="I42" i="6"/>
  <c r="L48" i="6"/>
  <c r="L55" i="6"/>
  <c r="I56" i="6"/>
  <c r="M56" i="6"/>
  <c r="I62" i="6"/>
  <c r="L62" i="6" s="1"/>
  <c r="J72" i="6"/>
  <c r="M72" i="6" s="1"/>
  <c r="J117" i="6"/>
  <c r="L44" i="6"/>
  <c r="L51" i="6"/>
  <c r="I53" i="6"/>
  <c r="L53" i="6" s="1"/>
  <c r="I54" i="6"/>
  <c r="L54" i="6" s="1"/>
  <c r="L60" i="6"/>
  <c r="I61" i="6"/>
  <c r="L61" i="6" s="1"/>
  <c r="L67" i="6"/>
  <c r="I68" i="6"/>
  <c r="L68" i="6" s="1"/>
  <c r="M68" i="6"/>
  <c r="J89" i="6"/>
  <c r="J105" i="6"/>
  <c r="J125" i="6"/>
  <c r="L47" i="6"/>
  <c r="I49" i="6"/>
  <c r="L49" i="6" s="1"/>
  <c r="I50" i="6"/>
  <c r="L50" i="6" s="1"/>
  <c r="L56" i="6"/>
  <c r="I57" i="6"/>
  <c r="L57" i="6" s="1"/>
  <c r="L63" i="6"/>
  <c r="I64" i="6"/>
  <c r="L64" i="6" s="1"/>
  <c r="M64" i="6"/>
  <c r="I70" i="6"/>
  <c r="L70" i="6" s="1"/>
  <c r="J133" i="6"/>
  <c r="I72" i="6"/>
  <c r="L72" i="6" s="1"/>
  <c r="I79" i="6"/>
  <c r="L79" i="6" s="1"/>
  <c r="I87" i="6"/>
  <c r="L90" i="6"/>
  <c r="I95" i="6"/>
  <c r="I103" i="6"/>
  <c r="L106" i="6"/>
  <c r="I111" i="6"/>
  <c r="L111" i="6" s="1"/>
  <c r="J115" i="6"/>
  <c r="I119" i="6"/>
  <c r="L124" i="6"/>
  <c r="I127" i="6"/>
  <c r="I135" i="6"/>
  <c r="L135" i="6" s="1"/>
  <c r="J58" i="6"/>
  <c r="M58" i="6" s="1"/>
  <c r="J62" i="6"/>
  <c r="M62" i="6" s="1"/>
  <c r="J66" i="6"/>
  <c r="M66" i="6" s="1"/>
  <c r="J70" i="6"/>
  <c r="M70" i="6" s="1"/>
  <c r="I82" i="6"/>
  <c r="L82" i="6" s="1"/>
  <c r="L87" i="6"/>
  <c r="I90" i="6"/>
  <c r="L95" i="6"/>
  <c r="I98" i="6"/>
  <c r="L98" i="6" s="1"/>
  <c r="L103" i="6"/>
  <c r="I106" i="6"/>
  <c r="I114" i="6"/>
  <c r="L114" i="6" s="1"/>
  <c r="I116" i="6"/>
  <c r="L116" i="6" s="1"/>
  <c r="M121" i="6"/>
  <c r="I121" i="6"/>
  <c r="L121" i="6" s="1"/>
  <c r="I124" i="6"/>
  <c r="M129" i="6"/>
  <c r="I129" i="6"/>
  <c r="L129" i="6" s="1"/>
  <c r="I132" i="6"/>
  <c r="L132" i="6" s="1"/>
  <c r="M137" i="6"/>
  <c r="I137" i="6"/>
  <c r="L137" i="6" s="1"/>
  <c r="L74" i="6"/>
  <c r="I76" i="6"/>
  <c r="L76" i="6" s="1"/>
  <c r="L78" i="6"/>
  <c r="I84" i="6"/>
  <c r="L84" i="6" s="1"/>
  <c r="L86" i="6"/>
  <c r="I92" i="6"/>
  <c r="L92" i="6" s="1"/>
  <c r="L94" i="6"/>
  <c r="I100" i="6"/>
  <c r="L100" i="6" s="1"/>
  <c r="L102" i="6"/>
  <c r="I108" i="6"/>
  <c r="L108" i="6" s="1"/>
  <c r="L110" i="6"/>
  <c r="L118" i="6"/>
  <c r="L120" i="6"/>
  <c r="L126" i="6"/>
  <c r="L128" i="6"/>
  <c r="L134" i="6"/>
  <c r="L136" i="6"/>
  <c r="L119" i="6"/>
  <c r="L123" i="6"/>
  <c r="L127" i="6"/>
  <c r="L131" i="6"/>
  <c r="N92" i="5"/>
  <c r="P92" i="5"/>
  <c r="L92" i="5" s="1"/>
  <c r="O92" i="5"/>
  <c r="Q92" i="5" s="1"/>
  <c r="I36" i="5"/>
  <c r="I35" i="5"/>
  <c r="I128" i="5"/>
  <c r="O89" i="5"/>
  <c r="Q89" i="5" s="1"/>
  <c r="I41" i="5"/>
  <c r="I3" i="5"/>
  <c r="P132" i="5"/>
  <c r="L132" i="5" s="1"/>
  <c r="N128" i="5"/>
  <c r="J126" i="5"/>
  <c r="J115" i="5"/>
  <c r="O106" i="5"/>
  <c r="Q106" i="5" s="1"/>
  <c r="M106" i="5" s="1"/>
  <c r="R106" i="5" s="1"/>
  <c r="S106" i="5" s="1"/>
  <c r="J87" i="5"/>
  <c r="I87" i="5" s="1"/>
  <c r="J86" i="5"/>
  <c r="J80" i="5"/>
  <c r="I77" i="5"/>
  <c r="J73" i="5"/>
  <c r="I73" i="5" s="1"/>
  <c r="J63" i="5"/>
  <c r="N63" i="5" s="1"/>
  <c r="J58" i="5"/>
  <c r="J52" i="5"/>
  <c r="J46" i="5"/>
  <c r="P46" i="5" s="1"/>
  <c r="L46" i="5" s="1"/>
  <c r="J45" i="5"/>
  <c r="J34" i="5"/>
  <c r="J33" i="5"/>
  <c r="P33" i="5" s="1"/>
  <c r="L33" i="5" s="1"/>
  <c r="J25" i="5"/>
  <c r="N25" i="5" s="1"/>
  <c r="J20" i="5"/>
  <c r="P13" i="5"/>
  <c r="L13" i="5" s="1"/>
  <c r="M13" i="5" s="1"/>
  <c r="R13" i="5" s="1"/>
  <c r="S13" i="5" s="1"/>
  <c r="J12" i="5"/>
  <c r="O138" i="5"/>
  <c r="Q138" i="5" s="1"/>
  <c r="J137" i="5"/>
  <c r="J133" i="5"/>
  <c r="J131" i="5"/>
  <c r="O131" i="5" s="1"/>
  <c r="Q131" i="5" s="1"/>
  <c r="M131" i="5" s="1"/>
  <c r="R131" i="5" s="1"/>
  <c r="S131" i="5" s="1"/>
  <c r="J130" i="5"/>
  <c r="J122" i="5"/>
  <c r="J114" i="5"/>
  <c r="N114" i="5" s="1"/>
  <c r="J108" i="5"/>
  <c r="J107" i="5"/>
  <c r="N106" i="5"/>
  <c r="J105" i="5"/>
  <c r="O105" i="5" s="1"/>
  <c r="Q105" i="5" s="1"/>
  <c r="N101" i="5"/>
  <c r="J99" i="5"/>
  <c r="J81" i="5"/>
  <c r="P81" i="5" s="1"/>
  <c r="L81" i="5" s="1"/>
  <c r="M81" i="5" s="1"/>
  <c r="R81" i="5" s="1"/>
  <c r="S81" i="5" s="1"/>
  <c r="J74" i="5"/>
  <c r="J66" i="5"/>
  <c r="I66" i="5" s="1"/>
  <c r="J65" i="5"/>
  <c r="P65" i="5" s="1"/>
  <c r="L65" i="5" s="1"/>
  <c r="J55" i="5"/>
  <c r="J53" i="5"/>
  <c r="N53" i="5" s="1"/>
  <c r="J47" i="5"/>
  <c r="I43" i="5"/>
  <c r="O40" i="5"/>
  <c r="Q40" i="5" s="1"/>
  <c r="M40" i="5" s="1"/>
  <c r="R40" i="5" s="1"/>
  <c r="S40" i="5" s="1"/>
  <c r="J38" i="5"/>
  <c r="J26" i="5"/>
  <c r="J22" i="5"/>
  <c r="J21" i="5"/>
  <c r="N21" i="5" s="1"/>
  <c r="J15" i="5"/>
  <c r="J14" i="5"/>
  <c r="P14" i="5" s="1"/>
  <c r="L14" i="5" s="1"/>
  <c r="J10" i="5"/>
  <c r="O8" i="5"/>
  <c r="Q8" i="5" s="1"/>
  <c r="M8" i="5" s="1"/>
  <c r="R8" i="5" s="1"/>
  <c r="S8" i="5" s="1"/>
  <c r="N131" i="5"/>
  <c r="P131" i="5"/>
  <c r="L131" i="5" s="1"/>
  <c r="N81" i="5"/>
  <c r="O81" i="5"/>
  <c r="Q81" i="5" s="1"/>
  <c r="I81" i="5"/>
  <c r="N115" i="5"/>
  <c r="O115" i="5"/>
  <c r="Q115" i="5" s="1"/>
  <c r="I115" i="5"/>
  <c r="P115" i="5"/>
  <c r="L115" i="5" s="1"/>
  <c r="N73" i="5"/>
  <c r="N22" i="5"/>
  <c r="P22" i="5"/>
  <c r="L22" i="5" s="1"/>
  <c r="I22" i="5"/>
  <c r="O22" i="5"/>
  <c r="Q22" i="5" s="1"/>
  <c r="M22" i="5" s="1"/>
  <c r="R22" i="5" s="1"/>
  <c r="S22" i="5" s="1"/>
  <c r="P135" i="5"/>
  <c r="L135" i="5" s="1"/>
  <c r="M135" i="5" s="1"/>
  <c r="R135" i="5" s="1"/>
  <c r="S135" i="5" s="1"/>
  <c r="N135" i="5"/>
  <c r="O135" i="5"/>
  <c r="Q135" i="5" s="1"/>
  <c r="I135" i="5"/>
  <c r="N137" i="5"/>
  <c r="O137" i="5"/>
  <c r="Q137" i="5" s="1"/>
  <c r="I137" i="5"/>
  <c r="P137" i="5"/>
  <c r="L137" i="5" s="1"/>
  <c r="N102" i="5"/>
  <c r="O102" i="5"/>
  <c r="Q102" i="5" s="1"/>
  <c r="I102" i="5"/>
  <c r="P102" i="5"/>
  <c r="L102" i="5" s="1"/>
  <c r="N105" i="5"/>
  <c r="P105" i="5"/>
  <c r="L105" i="5" s="1"/>
  <c r="I105" i="5"/>
  <c r="N96" i="5"/>
  <c r="O96" i="5"/>
  <c r="Q96" i="5" s="1"/>
  <c r="P96" i="5"/>
  <c r="L96" i="5" s="1"/>
  <c r="I96" i="5"/>
  <c r="N129" i="5"/>
  <c r="O129" i="5"/>
  <c r="Q129" i="5" s="1"/>
  <c r="P129" i="5"/>
  <c r="L129" i="5" s="1"/>
  <c r="N123" i="5"/>
  <c r="O123" i="5"/>
  <c r="Q123" i="5" s="1"/>
  <c r="M123" i="5" s="1"/>
  <c r="R123" i="5" s="1"/>
  <c r="S123" i="5" s="1"/>
  <c r="J90" i="5"/>
  <c r="N86" i="5"/>
  <c r="O86" i="5"/>
  <c r="Q86" i="5" s="1"/>
  <c r="P86" i="5"/>
  <c r="L86" i="5" s="1"/>
  <c r="P25" i="5"/>
  <c r="L25" i="5" s="1"/>
  <c r="I138" i="5"/>
  <c r="I123" i="5"/>
  <c r="P120" i="5"/>
  <c r="L120" i="5" s="1"/>
  <c r="I120" i="5"/>
  <c r="N120" i="5"/>
  <c r="O120" i="5"/>
  <c r="Q120" i="5" s="1"/>
  <c r="J112" i="5"/>
  <c r="I86" i="5"/>
  <c r="O80" i="5"/>
  <c r="Q80" i="5" s="1"/>
  <c r="P80" i="5"/>
  <c r="L80" i="5" s="1"/>
  <c r="N80" i="5"/>
  <c r="N14" i="5"/>
  <c r="I14" i="5"/>
  <c r="N118" i="5"/>
  <c r="O118" i="5"/>
  <c r="Q118" i="5" s="1"/>
  <c r="P118" i="5"/>
  <c r="L118" i="5" s="1"/>
  <c r="M118" i="5" s="1"/>
  <c r="R118" i="5" s="1"/>
  <c r="S118" i="5" s="1"/>
  <c r="I118" i="5"/>
  <c r="N113" i="5"/>
  <c r="O113" i="5"/>
  <c r="Q113" i="5" s="1"/>
  <c r="P113" i="5"/>
  <c r="L113" i="5" s="1"/>
  <c r="I113" i="5"/>
  <c r="N99" i="5"/>
  <c r="O99" i="5"/>
  <c r="Q99" i="5" s="1"/>
  <c r="I99" i="5"/>
  <c r="P99" i="5"/>
  <c r="L99" i="5" s="1"/>
  <c r="I80" i="5"/>
  <c r="P74" i="5"/>
  <c r="L74" i="5" s="1"/>
  <c r="N74" i="5"/>
  <c r="O74" i="5"/>
  <c r="Q74" i="5" s="1"/>
  <c r="J62" i="5"/>
  <c r="N20" i="5"/>
  <c r="O20" i="5"/>
  <c r="Q20" i="5" s="1"/>
  <c r="P20" i="5"/>
  <c r="L20" i="5" s="1"/>
  <c r="I20" i="5"/>
  <c r="N109" i="5"/>
  <c r="P109" i="5"/>
  <c r="L109" i="5" s="1"/>
  <c r="O109" i="5"/>
  <c r="Q109" i="5" s="1"/>
  <c r="N44" i="5"/>
  <c r="O44" i="5"/>
  <c r="Q44" i="5" s="1"/>
  <c r="P44" i="5"/>
  <c r="L44" i="5" s="1"/>
  <c r="I44" i="5"/>
  <c r="I9" i="5"/>
  <c r="O132" i="5"/>
  <c r="Q132" i="5" s="1"/>
  <c r="M132" i="5" s="1"/>
  <c r="R132" i="5" s="1"/>
  <c r="S132" i="5" s="1"/>
  <c r="I132" i="5"/>
  <c r="O116" i="5"/>
  <c r="Q116" i="5" s="1"/>
  <c r="P116" i="5"/>
  <c r="L116" i="5" s="1"/>
  <c r="I116" i="5"/>
  <c r="N116" i="5"/>
  <c r="I109" i="5"/>
  <c r="O87" i="5"/>
  <c r="Q87" i="5" s="1"/>
  <c r="N87" i="5"/>
  <c r="P87" i="5"/>
  <c r="L87" i="5" s="1"/>
  <c r="O71" i="5"/>
  <c r="Q71" i="5" s="1"/>
  <c r="P71" i="5"/>
  <c r="L71" i="5" s="1"/>
  <c r="N71" i="5"/>
  <c r="I71" i="5"/>
  <c r="P103" i="5"/>
  <c r="L103" i="5" s="1"/>
  <c r="I103" i="5"/>
  <c r="O103" i="5"/>
  <c r="Q103" i="5" s="1"/>
  <c r="M103" i="5" s="1"/>
  <c r="R103" i="5" s="1"/>
  <c r="S103" i="5" s="1"/>
  <c r="N103" i="5"/>
  <c r="N60" i="5"/>
  <c r="O60" i="5"/>
  <c r="Q60" i="5" s="1"/>
  <c r="P60" i="5"/>
  <c r="L60" i="5" s="1"/>
  <c r="J119" i="5"/>
  <c r="O108" i="5"/>
  <c r="Q108" i="5" s="1"/>
  <c r="P108" i="5"/>
  <c r="L108" i="5" s="1"/>
  <c r="N108" i="5"/>
  <c r="I60" i="5"/>
  <c r="N28" i="5"/>
  <c r="O28" i="5"/>
  <c r="Q28" i="5" s="1"/>
  <c r="P28" i="5"/>
  <c r="L28" i="5" s="1"/>
  <c r="I70" i="5"/>
  <c r="P70" i="5"/>
  <c r="L70" i="5" s="1"/>
  <c r="M70" i="5" s="1"/>
  <c r="R70" i="5" s="1"/>
  <c r="S70" i="5" s="1"/>
  <c r="N52" i="5"/>
  <c r="O52" i="5"/>
  <c r="Q52" i="5" s="1"/>
  <c r="P52" i="5"/>
  <c r="L52" i="5" s="1"/>
  <c r="I52" i="5"/>
  <c r="I28" i="5"/>
  <c r="J134" i="5"/>
  <c r="I134" i="5" s="1"/>
  <c r="O124" i="5"/>
  <c r="Q124" i="5" s="1"/>
  <c r="M124" i="5" s="1"/>
  <c r="R124" i="5" s="1"/>
  <c r="S124" i="5" s="1"/>
  <c r="N124" i="5"/>
  <c r="P124" i="5"/>
  <c r="L124" i="5" s="1"/>
  <c r="I124" i="5"/>
  <c r="N97" i="5"/>
  <c r="O97" i="5"/>
  <c r="Q97" i="5" s="1"/>
  <c r="P97" i="5"/>
  <c r="L97" i="5" s="1"/>
  <c r="I97" i="5"/>
  <c r="P133" i="5"/>
  <c r="L133" i="5" s="1"/>
  <c r="M133" i="5" s="1"/>
  <c r="R133" i="5" s="1"/>
  <c r="S133" i="5" s="1"/>
  <c r="N133" i="5"/>
  <c r="O133" i="5"/>
  <c r="Q133" i="5" s="1"/>
  <c r="I121" i="5"/>
  <c r="N85" i="5"/>
  <c r="O85" i="5"/>
  <c r="Q85" i="5" s="1"/>
  <c r="P85" i="5"/>
  <c r="L85" i="5" s="1"/>
  <c r="N83" i="5"/>
  <c r="O83" i="5"/>
  <c r="Q83" i="5" s="1"/>
  <c r="I83" i="5"/>
  <c r="P83" i="5"/>
  <c r="L83" i="5" s="1"/>
  <c r="N57" i="5"/>
  <c r="O57" i="5"/>
  <c r="Q57" i="5" s="1"/>
  <c r="M57" i="5" s="1"/>
  <c r="R57" i="5" s="1"/>
  <c r="S57" i="5" s="1"/>
  <c r="P57" i="5"/>
  <c r="L57" i="5" s="1"/>
  <c r="O15" i="5"/>
  <c r="Q15" i="5" s="1"/>
  <c r="P15" i="5"/>
  <c r="L15" i="5" s="1"/>
  <c r="N15" i="5"/>
  <c r="P127" i="5"/>
  <c r="L127" i="5" s="1"/>
  <c r="N127" i="5"/>
  <c r="O127" i="5"/>
  <c r="Q127" i="5" s="1"/>
  <c r="M127" i="5" s="1"/>
  <c r="R127" i="5" s="1"/>
  <c r="S127" i="5" s="1"/>
  <c r="N110" i="5"/>
  <c r="O110" i="5"/>
  <c r="Q110" i="5" s="1"/>
  <c r="P110" i="5"/>
  <c r="L110" i="5" s="1"/>
  <c r="N46" i="5"/>
  <c r="I46" i="5"/>
  <c r="M137" i="5"/>
  <c r="R137" i="5" s="1"/>
  <c r="S137" i="5" s="1"/>
  <c r="N94" i="5"/>
  <c r="O94" i="5"/>
  <c r="Q94" i="5" s="1"/>
  <c r="I94" i="5"/>
  <c r="P34" i="5"/>
  <c r="L34" i="5" s="1"/>
  <c r="O34" i="5"/>
  <c r="Q34" i="5" s="1"/>
  <c r="M34" i="5" s="1"/>
  <c r="R34" i="5" s="1"/>
  <c r="S34" i="5" s="1"/>
  <c r="N34" i="5"/>
  <c r="I129" i="5"/>
  <c r="N84" i="5"/>
  <c r="O84" i="5"/>
  <c r="Q84" i="5" s="1"/>
  <c r="P84" i="5"/>
  <c r="L84" i="5" s="1"/>
  <c r="J75" i="5"/>
  <c r="I75" i="5" s="1"/>
  <c r="N54" i="5"/>
  <c r="P54" i="5"/>
  <c r="L54" i="5" s="1"/>
  <c r="M54" i="5" s="1"/>
  <c r="R54" i="5" s="1"/>
  <c r="S54" i="5" s="1"/>
  <c r="I54" i="5"/>
  <c r="O54" i="5"/>
  <c r="Q54" i="5" s="1"/>
  <c r="I34" i="5"/>
  <c r="N78" i="5"/>
  <c r="O78" i="5"/>
  <c r="Q78" i="5" s="1"/>
  <c r="M78" i="5" s="1"/>
  <c r="R78" i="5" s="1"/>
  <c r="S78" i="5" s="1"/>
  <c r="P78" i="5"/>
  <c r="L78" i="5" s="1"/>
  <c r="O47" i="5"/>
  <c r="Q47" i="5" s="1"/>
  <c r="P47" i="5"/>
  <c r="L47" i="5" s="1"/>
  <c r="I47" i="5"/>
  <c r="N47" i="5"/>
  <c r="J30" i="5"/>
  <c r="N9" i="5"/>
  <c r="O9" i="5"/>
  <c r="Q9" i="5" s="1"/>
  <c r="P9" i="5"/>
  <c r="L9" i="5" s="1"/>
  <c r="I78" i="5"/>
  <c r="N107" i="5"/>
  <c r="I107" i="5"/>
  <c r="O100" i="5"/>
  <c r="Q100" i="5" s="1"/>
  <c r="P100" i="5"/>
  <c r="L100" i="5" s="1"/>
  <c r="I100" i="5"/>
  <c r="P138" i="5"/>
  <c r="L138" i="5" s="1"/>
  <c r="M138" i="5" s="1"/>
  <c r="R138" i="5" s="1"/>
  <c r="S138" i="5" s="1"/>
  <c r="J136" i="5"/>
  <c r="I133" i="5"/>
  <c r="O130" i="5"/>
  <c r="Q130" i="5" s="1"/>
  <c r="N122" i="5"/>
  <c r="O122" i="5"/>
  <c r="Q122" i="5" s="1"/>
  <c r="P122" i="5"/>
  <c r="L122" i="5" s="1"/>
  <c r="J121" i="5"/>
  <c r="O79" i="5"/>
  <c r="Q79" i="5" s="1"/>
  <c r="P79" i="5"/>
  <c r="L79" i="5" s="1"/>
  <c r="I79" i="5"/>
  <c r="N79" i="5"/>
  <c r="I57" i="5"/>
  <c r="O46" i="5"/>
  <c r="Q46" i="5" s="1"/>
  <c r="M110" i="5"/>
  <c r="R110" i="5" s="1"/>
  <c r="S110" i="5" s="1"/>
  <c r="P95" i="5"/>
  <c r="L95" i="5" s="1"/>
  <c r="I95" i="5"/>
  <c r="I85" i="5"/>
  <c r="P82" i="5"/>
  <c r="L82" i="5" s="1"/>
  <c r="I82" i="5"/>
  <c r="J51" i="5"/>
  <c r="O67" i="5"/>
  <c r="Q67" i="5" s="1"/>
  <c r="P67" i="5"/>
  <c r="L67" i="5" s="1"/>
  <c r="N67" i="5"/>
  <c r="O23" i="5"/>
  <c r="Q23" i="5" s="1"/>
  <c r="P23" i="5"/>
  <c r="L23" i="5" s="1"/>
  <c r="I23" i="5"/>
  <c r="N23" i="5"/>
  <c r="P10" i="5"/>
  <c r="L10" i="5" s="1"/>
  <c r="M10" i="5" s="1"/>
  <c r="R10" i="5" s="1"/>
  <c r="S10" i="5" s="1"/>
  <c r="N10" i="5"/>
  <c r="O10" i="5"/>
  <c r="Q10" i="5" s="1"/>
  <c r="I92" i="5"/>
  <c r="M83" i="5"/>
  <c r="R83" i="5" s="1"/>
  <c r="S83" i="5" s="1"/>
  <c r="I67" i="5"/>
  <c r="N65" i="5"/>
  <c r="O65" i="5"/>
  <c r="Q65" i="5" s="1"/>
  <c r="M65" i="5" s="1"/>
  <c r="R65" i="5" s="1"/>
  <c r="S65" i="5" s="1"/>
  <c r="I65" i="5"/>
  <c r="I61" i="5"/>
  <c r="N29" i="5"/>
  <c r="O29" i="5"/>
  <c r="Q29" i="5" s="1"/>
  <c r="J117" i="5"/>
  <c r="P114" i="5"/>
  <c r="L114" i="5" s="1"/>
  <c r="I106" i="5"/>
  <c r="M94" i="5"/>
  <c r="R94" i="5" s="1"/>
  <c r="S94" i="5" s="1"/>
  <c r="I74" i="5"/>
  <c r="N33" i="5"/>
  <c r="O33" i="5"/>
  <c r="Q33" i="5" s="1"/>
  <c r="M33" i="5" s="1"/>
  <c r="R33" i="5" s="1"/>
  <c r="S33" i="5" s="1"/>
  <c r="I33" i="5"/>
  <c r="I29" i="5"/>
  <c r="I27" i="5"/>
  <c r="N27" i="5"/>
  <c r="O27" i="5"/>
  <c r="Q27" i="5" s="1"/>
  <c r="P27" i="5"/>
  <c r="L27" i="5" s="1"/>
  <c r="M27" i="5" s="1"/>
  <c r="R27" i="5" s="1"/>
  <c r="S27" i="5" s="1"/>
  <c r="I84" i="5"/>
  <c r="O55" i="5"/>
  <c r="Q55" i="5" s="1"/>
  <c r="P55" i="5"/>
  <c r="L55" i="5" s="1"/>
  <c r="I55" i="5"/>
  <c r="N55" i="5"/>
  <c r="P42" i="5"/>
  <c r="L42" i="5" s="1"/>
  <c r="N42" i="5"/>
  <c r="O42" i="5"/>
  <c r="Q42" i="5" s="1"/>
  <c r="M42" i="5" s="1"/>
  <c r="R42" i="5" s="1"/>
  <c r="S42" i="5" s="1"/>
  <c r="I25" i="5"/>
  <c r="I108" i="5"/>
  <c r="J19" i="5"/>
  <c r="I122" i="5"/>
  <c r="I10" i="5"/>
  <c r="J111" i="5"/>
  <c r="P101" i="5"/>
  <c r="L101" i="5" s="1"/>
  <c r="M101" i="5" s="1"/>
  <c r="R101" i="5" s="1"/>
  <c r="S101" i="5" s="1"/>
  <c r="J98" i="5"/>
  <c r="O95" i="5"/>
  <c r="Q95" i="5" s="1"/>
  <c r="O93" i="5"/>
  <c r="Q93" i="5" s="1"/>
  <c r="M93" i="5" s="1"/>
  <c r="R93" i="5" s="1"/>
  <c r="S93" i="5" s="1"/>
  <c r="M92" i="5"/>
  <c r="R92" i="5" s="1"/>
  <c r="S92" i="5" s="1"/>
  <c r="P89" i="5"/>
  <c r="L89" i="5" s="1"/>
  <c r="M89" i="5" s="1"/>
  <c r="R89" i="5" s="1"/>
  <c r="S89" i="5" s="1"/>
  <c r="I89" i="5"/>
  <c r="O82" i="5"/>
  <c r="Q82" i="5" s="1"/>
  <c r="M82" i="5" s="1"/>
  <c r="R82" i="5" s="1"/>
  <c r="S82" i="5" s="1"/>
  <c r="N76" i="5"/>
  <c r="O76" i="5"/>
  <c r="Q76" i="5" s="1"/>
  <c r="M76" i="5" s="1"/>
  <c r="R76" i="5" s="1"/>
  <c r="S76" i="5" s="1"/>
  <c r="I76" i="5"/>
  <c r="M74" i="5"/>
  <c r="R74" i="5" s="1"/>
  <c r="S74" i="5" s="1"/>
  <c r="N68" i="5"/>
  <c r="O68" i="5"/>
  <c r="Q68" i="5" s="1"/>
  <c r="P68" i="5"/>
  <c r="L68" i="5" s="1"/>
  <c r="O53" i="5"/>
  <c r="Q53" i="5" s="1"/>
  <c r="P53" i="5"/>
  <c r="L53" i="5" s="1"/>
  <c r="N43" i="5"/>
  <c r="O43" i="5"/>
  <c r="Q43" i="5" s="1"/>
  <c r="M43" i="5" s="1"/>
  <c r="R43" i="5" s="1"/>
  <c r="S43" i="5" s="1"/>
  <c r="N12" i="5"/>
  <c r="O12" i="5"/>
  <c r="Q12" i="5" s="1"/>
  <c r="M12" i="5" s="1"/>
  <c r="R12" i="5" s="1"/>
  <c r="S12" i="5" s="1"/>
  <c r="P12" i="5"/>
  <c r="L12" i="5" s="1"/>
  <c r="I12" i="5"/>
  <c r="I101" i="5"/>
  <c r="N61" i="5"/>
  <c r="O61" i="5"/>
  <c r="Q61" i="5" s="1"/>
  <c r="I42" i="5"/>
  <c r="M96" i="5"/>
  <c r="R96" i="5" s="1"/>
  <c r="S96" i="5" s="1"/>
  <c r="O91" i="5"/>
  <c r="Q91" i="5" s="1"/>
  <c r="P91" i="5"/>
  <c r="L91" i="5" s="1"/>
  <c r="I91" i="5"/>
  <c r="I59" i="5"/>
  <c r="N59" i="5"/>
  <c r="O59" i="5"/>
  <c r="Q59" i="5" s="1"/>
  <c r="P59" i="5"/>
  <c r="L59" i="5" s="1"/>
  <c r="M49" i="5"/>
  <c r="R49" i="5" s="1"/>
  <c r="S49" i="5" s="1"/>
  <c r="O35" i="5"/>
  <c r="Q35" i="5" s="1"/>
  <c r="P35" i="5"/>
  <c r="L35" i="5" s="1"/>
  <c r="N35" i="5"/>
  <c r="I130" i="5"/>
  <c r="P128" i="5"/>
  <c r="L128" i="5" s="1"/>
  <c r="M128" i="5" s="1"/>
  <c r="R128" i="5" s="1"/>
  <c r="S128" i="5" s="1"/>
  <c r="O114" i="5"/>
  <c r="Q114" i="5" s="1"/>
  <c r="J125" i="5"/>
  <c r="J104" i="5"/>
  <c r="I104" i="5" s="1"/>
  <c r="I98" i="5"/>
  <c r="N95" i="5"/>
  <c r="N93" i="5"/>
  <c r="N82" i="5"/>
  <c r="O77" i="5"/>
  <c r="Q77" i="5" s="1"/>
  <c r="P77" i="5"/>
  <c r="L77" i="5" s="1"/>
  <c r="I68" i="5"/>
  <c r="P66" i="5"/>
  <c r="L66" i="5" s="1"/>
  <c r="O66" i="5"/>
  <c r="Q66" i="5" s="1"/>
  <c r="M66" i="5" s="1"/>
  <c r="R66" i="5" s="1"/>
  <c r="S66" i="5" s="1"/>
  <c r="N66" i="5"/>
  <c r="I53" i="5"/>
  <c r="N41" i="5"/>
  <c r="O41" i="5"/>
  <c r="Q41" i="5" s="1"/>
  <c r="P41" i="5"/>
  <c r="L41" i="5" s="1"/>
  <c r="N36" i="5"/>
  <c r="O36" i="5"/>
  <c r="Q36" i="5" s="1"/>
  <c r="P36" i="5"/>
  <c r="L36" i="5" s="1"/>
  <c r="O21" i="5"/>
  <c r="Q21" i="5" s="1"/>
  <c r="P21" i="5"/>
  <c r="L21" i="5" s="1"/>
  <c r="N11" i="5"/>
  <c r="O11" i="5"/>
  <c r="Q11" i="5" s="1"/>
  <c r="M11" i="5" s="1"/>
  <c r="R11" i="5" s="1"/>
  <c r="S11" i="5" s="1"/>
  <c r="M61" i="5"/>
  <c r="R61" i="5" s="1"/>
  <c r="S61" i="5" s="1"/>
  <c r="J48" i="5"/>
  <c r="O39" i="5"/>
  <c r="Q39" i="5" s="1"/>
  <c r="P39" i="5"/>
  <c r="L39" i="5" s="1"/>
  <c r="I39" i="5"/>
  <c r="M29" i="5"/>
  <c r="R29" i="5" s="1"/>
  <c r="S29" i="5" s="1"/>
  <c r="J16" i="5"/>
  <c r="I15" i="5"/>
  <c r="O7" i="5"/>
  <c r="Q7" i="5" s="1"/>
  <c r="P7" i="5"/>
  <c r="L7" i="5" s="1"/>
  <c r="I93" i="5"/>
  <c r="O63" i="5"/>
  <c r="Q63" i="5" s="1"/>
  <c r="P63" i="5"/>
  <c r="L63" i="5" s="1"/>
  <c r="I63" i="5"/>
  <c r="I40" i="5"/>
  <c r="I38" i="5"/>
  <c r="O31" i="5"/>
  <c r="Q31" i="5" s="1"/>
  <c r="P31" i="5"/>
  <c r="L31" i="5" s="1"/>
  <c r="I31" i="5"/>
  <c r="I8" i="5"/>
  <c r="J88" i="5"/>
  <c r="N49" i="5"/>
  <c r="O49" i="5"/>
  <c r="Q49" i="5" s="1"/>
  <c r="P49" i="5"/>
  <c r="L49" i="5" s="1"/>
  <c r="N17" i="5"/>
  <c r="O17" i="5"/>
  <c r="Q17" i="5" s="1"/>
  <c r="P17" i="5"/>
  <c r="L17" i="5" s="1"/>
  <c r="M17" i="5" s="1"/>
  <c r="R17" i="5" s="1"/>
  <c r="S17" i="5" s="1"/>
  <c r="M67" i="5"/>
  <c r="R67" i="5" s="1"/>
  <c r="S67" i="5" s="1"/>
  <c r="J64" i="5"/>
  <c r="J32" i="5"/>
  <c r="I58" i="5"/>
  <c r="I45" i="5"/>
  <c r="I26" i="5"/>
  <c r="I7" i="5"/>
  <c r="J72" i="5"/>
  <c r="I72" i="5" s="1"/>
  <c r="J69" i="5"/>
  <c r="I69" i="5" s="1"/>
  <c r="M59" i="5"/>
  <c r="R59" i="5" s="1"/>
  <c r="S59" i="5" s="1"/>
  <c r="J56" i="5"/>
  <c r="J50" i="5"/>
  <c r="I50" i="5" s="1"/>
  <c r="M46" i="5"/>
  <c r="R46" i="5" s="1"/>
  <c r="S46" i="5" s="1"/>
  <c r="J37" i="5"/>
  <c r="I37" i="5" s="1"/>
  <c r="J24" i="5"/>
  <c r="J18" i="5"/>
  <c r="I18" i="5" s="1"/>
  <c r="O6" i="5"/>
  <c r="Q6" i="5" s="1"/>
  <c r="M6" i="5" s="1"/>
  <c r="R6" i="5" s="1"/>
  <c r="S6" i="5" s="1"/>
  <c r="N6" i="5"/>
  <c r="P6" i="5"/>
  <c r="L6" i="5" s="1"/>
  <c r="I6" i="5"/>
  <c r="J5" i="5"/>
  <c r="I5" i="5" s="1"/>
  <c r="J4" i="5"/>
  <c r="I4" i="5" s="1"/>
  <c r="P3" i="5"/>
  <c r="L3" i="5" s="1"/>
  <c r="Q3" i="5"/>
  <c r="M3" i="5" s="1"/>
  <c r="R3" i="5" s="1"/>
  <c r="E2" i="2"/>
  <c r="F2" i="2" s="1"/>
  <c r="H2" i="5"/>
  <c r="C18" i="2"/>
  <c r="C14" i="2"/>
  <c r="C13" i="2"/>
  <c r="F22" i="8" l="1"/>
  <c r="E22" i="8"/>
  <c r="M2" i="7"/>
  <c r="L2" i="7"/>
  <c r="U2" i="7" s="1"/>
  <c r="V2" i="7" s="1"/>
  <c r="I22" i="8"/>
  <c r="D23" i="8"/>
  <c r="G23" i="8" s="1"/>
  <c r="H23" i="8" s="1"/>
  <c r="N7" i="7"/>
  <c r="S7" i="7"/>
  <c r="T7" i="7"/>
  <c r="N6" i="7"/>
  <c r="S6" i="7"/>
  <c r="T6" i="7"/>
  <c r="N4" i="7"/>
  <c r="S4" i="7"/>
  <c r="T4" i="7"/>
  <c r="N3" i="7"/>
  <c r="S3" i="7"/>
  <c r="T3" i="7"/>
  <c r="N11" i="7"/>
  <c r="T11" i="7"/>
  <c r="S11" i="7"/>
  <c r="N14" i="7"/>
  <c r="S14" i="7"/>
  <c r="T14" i="7"/>
  <c r="N12" i="7"/>
  <c r="T12" i="7"/>
  <c r="S12" i="7"/>
  <c r="S18" i="7"/>
  <c r="T18" i="7"/>
  <c r="N9" i="7"/>
  <c r="S9" i="7"/>
  <c r="T9" i="7"/>
  <c r="I3" i="7"/>
  <c r="L3" i="7" s="1"/>
  <c r="U3" i="7" s="1"/>
  <c r="V3" i="7" s="1"/>
  <c r="I18" i="7"/>
  <c r="L18" i="7" s="1"/>
  <c r="N18" i="7"/>
  <c r="I104" i="7"/>
  <c r="L104" i="7" s="1"/>
  <c r="I124" i="7"/>
  <c r="L124" i="7" s="1"/>
  <c r="I108" i="7"/>
  <c r="L108" i="7" s="1"/>
  <c r="M125" i="7"/>
  <c r="I125" i="7"/>
  <c r="L125" i="7" s="1"/>
  <c r="M93" i="7"/>
  <c r="I93" i="7"/>
  <c r="L93" i="7" s="1"/>
  <c r="M59" i="7"/>
  <c r="I59" i="7"/>
  <c r="L59" i="7" s="1"/>
  <c r="M33" i="7"/>
  <c r="I33" i="7"/>
  <c r="L33" i="7" s="1"/>
  <c r="M20" i="7"/>
  <c r="M11" i="7"/>
  <c r="I11" i="7"/>
  <c r="L11" i="7" s="1"/>
  <c r="U11" i="7" s="1"/>
  <c r="V11" i="7" s="1"/>
  <c r="M137" i="7"/>
  <c r="I137" i="7"/>
  <c r="L137" i="7" s="1"/>
  <c r="M121" i="7"/>
  <c r="I121" i="7"/>
  <c r="L121" i="7" s="1"/>
  <c r="M105" i="7"/>
  <c r="I105" i="7"/>
  <c r="L105" i="7" s="1"/>
  <c r="M89" i="7"/>
  <c r="I89" i="7"/>
  <c r="L89" i="7" s="1"/>
  <c r="M71" i="7"/>
  <c r="I71" i="7"/>
  <c r="L71" i="7" s="1"/>
  <c r="M55" i="7"/>
  <c r="I55" i="7"/>
  <c r="L55" i="7" s="1"/>
  <c r="M26" i="7"/>
  <c r="M18" i="7"/>
  <c r="M9" i="7"/>
  <c r="I9" i="7"/>
  <c r="L9" i="7" s="1"/>
  <c r="U9" i="7" s="1"/>
  <c r="V9" i="7" s="1"/>
  <c r="I20" i="7"/>
  <c r="L20" i="7" s="1"/>
  <c r="M92" i="7"/>
  <c r="M117" i="7"/>
  <c r="I117" i="7"/>
  <c r="L117" i="7" s="1"/>
  <c r="M85" i="7"/>
  <c r="I85" i="7"/>
  <c r="L85" i="7" s="1"/>
  <c r="M67" i="7"/>
  <c r="I67" i="7"/>
  <c r="L67" i="7" s="1"/>
  <c r="I77" i="7"/>
  <c r="L77" i="7" s="1"/>
  <c r="M77" i="7"/>
  <c r="M6" i="7"/>
  <c r="I87" i="7"/>
  <c r="L87" i="7" s="1"/>
  <c r="M87" i="7"/>
  <c r="M24" i="7"/>
  <c r="M14" i="7"/>
  <c r="M7" i="7"/>
  <c r="I7" i="7"/>
  <c r="L7" i="7" s="1"/>
  <c r="U7" i="7" s="1"/>
  <c r="V7" i="7" s="1"/>
  <c r="I14" i="7"/>
  <c r="L14" i="7" s="1"/>
  <c r="U14" i="7" s="1"/>
  <c r="V14" i="7" s="1"/>
  <c r="M109" i="7"/>
  <c r="I109" i="7"/>
  <c r="L109" i="7" s="1"/>
  <c r="M133" i="7"/>
  <c r="I133" i="7"/>
  <c r="L133" i="7" s="1"/>
  <c r="M101" i="7"/>
  <c r="I101" i="7"/>
  <c r="L101" i="7" s="1"/>
  <c r="M136" i="7"/>
  <c r="M129" i="7"/>
  <c r="I129" i="7"/>
  <c r="L129" i="7" s="1"/>
  <c r="M113" i="7"/>
  <c r="I113" i="7"/>
  <c r="L113" i="7" s="1"/>
  <c r="M97" i="7"/>
  <c r="I97" i="7"/>
  <c r="L97" i="7" s="1"/>
  <c r="M63" i="7"/>
  <c r="I63" i="7"/>
  <c r="L63" i="7" s="1"/>
  <c r="M3" i="7"/>
  <c r="M22" i="7"/>
  <c r="M12" i="7"/>
  <c r="M4" i="7"/>
  <c r="I4" i="7"/>
  <c r="L4" i="7" s="1"/>
  <c r="U4" i="7" s="1"/>
  <c r="V4" i="7" s="1"/>
  <c r="M72" i="7"/>
  <c r="I24" i="7"/>
  <c r="L24" i="7" s="1"/>
  <c r="I12" i="7"/>
  <c r="L12" i="7" s="1"/>
  <c r="U12" i="7" s="1"/>
  <c r="V12" i="7" s="1"/>
  <c r="I6" i="7"/>
  <c r="L6" i="7" s="1"/>
  <c r="U6" i="7" s="1"/>
  <c r="V6" i="7" s="1"/>
  <c r="M89" i="6"/>
  <c r="I89" i="6"/>
  <c r="L89" i="6" s="1"/>
  <c r="M115" i="6"/>
  <c r="I115" i="6"/>
  <c r="L115" i="6" s="1"/>
  <c r="M113" i="6"/>
  <c r="I113" i="6"/>
  <c r="L113" i="6" s="1"/>
  <c r="I14" i="6"/>
  <c r="L14" i="6" s="1"/>
  <c r="P14" i="6" s="1"/>
  <c r="Q14" i="6" s="1"/>
  <c r="I6" i="6"/>
  <c r="L6" i="6" s="1"/>
  <c r="P6" i="6" s="1"/>
  <c r="Q6" i="6" s="1"/>
  <c r="M133" i="6"/>
  <c r="I133" i="6"/>
  <c r="L133" i="6" s="1"/>
  <c r="M125" i="6"/>
  <c r="I125" i="6"/>
  <c r="L125" i="6" s="1"/>
  <c r="I58" i="6"/>
  <c r="L58" i="6" s="1"/>
  <c r="I65" i="6"/>
  <c r="L65" i="6" s="1"/>
  <c r="M97" i="6"/>
  <c r="I97" i="6"/>
  <c r="L97" i="6" s="1"/>
  <c r="M11" i="6"/>
  <c r="O11" i="6" s="1"/>
  <c r="I11" i="6"/>
  <c r="L11" i="6" s="1"/>
  <c r="P11" i="6" s="1"/>
  <c r="Q11" i="6" s="1"/>
  <c r="I12" i="6"/>
  <c r="L12" i="6" s="1"/>
  <c r="P12" i="6" s="1"/>
  <c r="Q12" i="6" s="1"/>
  <c r="I3" i="6"/>
  <c r="L3" i="6" s="1"/>
  <c r="P3" i="6" s="1"/>
  <c r="M105" i="6"/>
  <c r="I105" i="6"/>
  <c r="L105" i="6" s="1"/>
  <c r="M117" i="6"/>
  <c r="I117" i="6"/>
  <c r="L117" i="6" s="1"/>
  <c r="M81" i="6"/>
  <c r="I81" i="6"/>
  <c r="L81" i="6" s="1"/>
  <c r="I66" i="6"/>
  <c r="L66" i="6" s="1"/>
  <c r="P26" i="5"/>
  <c r="L26" i="5" s="1"/>
  <c r="N26" i="5"/>
  <c r="O26" i="5"/>
  <c r="Q26" i="5" s="1"/>
  <c r="M26" i="5" s="1"/>
  <c r="R26" i="5" s="1"/>
  <c r="S26" i="5" s="1"/>
  <c r="P130" i="5"/>
  <c r="L130" i="5" s="1"/>
  <c r="M130" i="5" s="1"/>
  <c r="R130" i="5" s="1"/>
  <c r="S130" i="5" s="1"/>
  <c r="N130" i="5"/>
  <c r="P126" i="5"/>
  <c r="L126" i="5" s="1"/>
  <c r="O126" i="5"/>
  <c r="Q126" i="5" s="1"/>
  <c r="M126" i="5" s="1"/>
  <c r="R126" i="5" s="1"/>
  <c r="S126" i="5" s="1"/>
  <c r="N126" i="5"/>
  <c r="M31" i="5"/>
  <c r="R31" i="5" s="1"/>
  <c r="S31" i="5" s="1"/>
  <c r="M122" i="5"/>
  <c r="R122" i="5" s="1"/>
  <c r="S122" i="5" s="1"/>
  <c r="M84" i="5"/>
  <c r="R84" i="5" s="1"/>
  <c r="S84" i="5" s="1"/>
  <c r="M86" i="5"/>
  <c r="R86" i="5" s="1"/>
  <c r="S86" i="5" s="1"/>
  <c r="P73" i="5"/>
  <c r="L73" i="5" s="1"/>
  <c r="N38" i="5"/>
  <c r="P38" i="5"/>
  <c r="L38" i="5" s="1"/>
  <c r="O38" i="5"/>
  <c r="Q38" i="5" s="1"/>
  <c r="M38" i="5" s="1"/>
  <c r="R38" i="5" s="1"/>
  <c r="S38" i="5" s="1"/>
  <c r="M21" i="5"/>
  <c r="R21" i="5" s="1"/>
  <c r="S21" i="5" s="1"/>
  <c r="M53" i="5"/>
  <c r="R53" i="5" s="1"/>
  <c r="S53" i="5" s="1"/>
  <c r="M41" i="5"/>
  <c r="R41" i="5" s="1"/>
  <c r="S41" i="5" s="1"/>
  <c r="O25" i="5"/>
  <c r="Q25" i="5" s="1"/>
  <c r="M25" i="5" s="1"/>
  <c r="R25" i="5" s="1"/>
  <c r="S25" i="5" s="1"/>
  <c r="O73" i="5"/>
  <c r="Q73" i="5" s="1"/>
  <c r="M73" i="5" s="1"/>
  <c r="R73" i="5" s="1"/>
  <c r="S73" i="5" s="1"/>
  <c r="M115" i="5"/>
  <c r="R115" i="5" s="1"/>
  <c r="S115" i="5" s="1"/>
  <c r="I131" i="5"/>
  <c r="P58" i="5"/>
  <c r="L58" i="5" s="1"/>
  <c r="O58" i="5"/>
  <c r="Q58" i="5" s="1"/>
  <c r="N58" i="5"/>
  <c r="I114" i="5"/>
  <c r="M7" i="5"/>
  <c r="R7" i="5" s="1"/>
  <c r="S7" i="5" s="1"/>
  <c r="M39" i="5"/>
  <c r="R39" i="5" s="1"/>
  <c r="S39" i="5" s="1"/>
  <c r="M36" i="5"/>
  <c r="R36" i="5" s="1"/>
  <c r="S36" i="5" s="1"/>
  <c r="M35" i="5"/>
  <c r="R35" i="5" s="1"/>
  <c r="S35" i="5" s="1"/>
  <c r="M68" i="5"/>
  <c r="R68" i="5" s="1"/>
  <c r="S68" i="5" s="1"/>
  <c r="M9" i="5"/>
  <c r="R9" i="5" s="1"/>
  <c r="S9" i="5" s="1"/>
  <c r="M85" i="5"/>
  <c r="R85" i="5" s="1"/>
  <c r="S85" i="5" s="1"/>
  <c r="M116" i="5"/>
  <c r="R116" i="5" s="1"/>
  <c r="S116" i="5" s="1"/>
  <c r="M109" i="5"/>
  <c r="R109" i="5" s="1"/>
  <c r="S109" i="5" s="1"/>
  <c r="M99" i="5"/>
  <c r="R99" i="5" s="1"/>
  <c r="S99" i="5" s="1"/>
  <c r="O14" i="5"/>
  <c r="Q14" i="5" s="1"/>
  <c r="M14" i="5" s="1"/>
  <c r="R14" i="5" s="1"/>
  <c r="S14" i="5" s="1"/>
  <c r="M120" i="5"/>
  <c r="R120" i="5" s="1"/>
  <c r="S120" i="5" s="1"/>
  <c r="M129" i="5"/>
  <c r="R129" i="5" s="1"/>
  <c r="S129" i="5" s="1"/>
  <c r="M102" i="5"/>
  <c r="R102" i="5" s="1"/>
  <c r="S102" i="5" s="1"/>
  <c r="O107" i="5"/>
  <c r="Q107" i="5" s="1"/>
  <c r="P107" i="5"/>
  <c r="L107" i="5" s="1"/>
  <c r="I126" i="5"/>
  <c r="N45" i="5"/>
  <c r="O45" i="5"/>
  <c r="Q45" i="5" s="1"/>
  <c r="P45" i="5"/>
  <c r="L45" i="5" s="1"/>
  <c r="I21" i="5"/>
  <c r="O88" i="5"/>
  <c r="Q88" i="5" s="1"/>
  <c r="P88" i="5"/>
  <c r="L88" i="5" s="1"/>
  <c r="N88" i="5"/>
  <c r="N16" i="5"/>
  <c r="O16" i="5"/>
  <c r="Q16" i="5" s="1"/>
  <c r="P16" i="5"/>
  <c r="L16" i="5" s="1"/>
  <c r="I16" i="5"/>
  <c r="P51" i="5"/>
  <c r="L51" i="5" s="1"/>
  <c r="N51" i="5"/>
  <c r="O51" i="5"/>
  <c r="Q51" i="5" s="1"/>
  <c r="I117" i="5"/>
  <c r="N117" i="5"/>
  <c r="O117" i="5"/>
  <c r="Q117" i="5" s="1"/>
  <c r="P117" i="5"/>
  <c r="L117" i="5" s="1"/>
  <c r="P119" i="5"/>
  <c r="L119" i="5" s="1"/>
  <c r="I119" i="5"/>
  <c r="N119" i="5"/>
  <c r="O119" i="5"/>
  <c r="Q119" i="5" s="1"/>
  <c r="M87" i="5"/>
  <c r="R87" i="5" s="1"/>
  <c r="S87" i="5" s="1"/>
  <c r="M95" i="5"/>
  <c r="R95" i="5" s="1"/>
  <c r="S95" i="5" s="1"/>
  <c r="N136" i="5"/>
  <c r="O136" i="5"/>
  <c r="Q136" i="5" s="1"/>
  <c r="P136" i="5"/>
  <c r="L136" i="5" s="1"/>
  <c r="N24" i="5"/>
  <c r="O24" i="5"/>
  <c r="Q24" i="5" s="1"/>
  <c r="P24" i="5"/>
  <c r="L24" i="5" s="1"/>
  <c r="I24" i="5"/>
  <c r="I32" i="5"/>
  <c r="N32" i="5"/>
  <c r="O32" i="5"/>
  <c r="Q32" i="5" s="1"/>
  <c r="P32" i="5"/>
  <c r="L32" i="5" s="1"/>
  <c r="M114" i="5"/>
  <c r="R114" i="5" s="1"/>
  <c r="S114" i="5" s="1"/>
  <c r="M23" i="5"/>
  <c r="R23" i="5" s="1"/>
  <c r="S23" i="5" s="1"/>
  <c r="N121" i="5"/>
  <c r="P121" i="5"/>
  <c r="L121" i="5" s="1"/>
  <c r="O121" i="5"/>
  <c r="Q121" i="5" s="1"/>
  <c r="M28" i="5"/>
  <c r="R28" i="5" s="1"/>
  <c r="S28" i="5" s="1"/>
  <c r="M80" i="5"/>
  <c r="R80" i="5" s="1"/>
  <c r="S80" i="5" s="1"/>
  <c r="P69" i="5"/>
  <c r="L69" i="5" s="1"/>
  <c r="N69" i="5"/>
  <c r="O69" i="5"/>
  <c r="Q69" i="5" s="1"/>
  <c r="M91" i="5"/>
  <c r="R91" i="5" s="1"/>
  <c r="S91" i="5" s="1"/>
  <c r="M15" i="5"/>
  <c r="R15" i="5" s="1"/>
  <c r="S15" i="5" s="1"/>
  <c r="M52" i="5"/>
  <c r="R52" i="5" s="1"/>
  <c r="S52" i="5" s="1"/>
  <c r="M60" i="5"/>
  <c r="R60" i="5" s="1"/>
  <c r="S60" i="5" s="1"/>
  <c r="P90" i="5"/>
  <c r="L90" i="5" s="1"/>
  <c r="N90" i="5"/>
  <c r="O90" i="5"/>
  <c r="Q90" i="5" s="1"/>
  <c r="I90" i="5"/>
  <c r="I64" i="5"/>
  <c r="N64" i="5"/>
  <c r="P64" i="5"/>
  <c r="L64" i="5" s="1"/>
  <c r="O64" i="5"/>
  <c r="Q64" i="5" s="1"/>
  <c r="M64" i="5" s="1"/>
  <c r="R64" i="5" s="1"/>
  <c r="S64" i="5" s="1"/>
  <c r="N48" i="5"/>
  <c r="O48" i="5"/>
  <c r="Q48" i="5" s="1"/>
  <c r="P48" i="5"/>
  <c r="L48" i="5" s="1"/>
  <c r="I48" i="5"/>
  <c r="N134" i="5"/>
  <c r="P134" i="5"/>
  <c r="L134" i="5" s="1"/>
  <c r="O134" i="5"/>
  <c r="Q134" i="5" s="1"/>
  <c r="P50" i="5"/>
  <c r="L50" i="5" s="1"/>
  <c r="N50" i="5"/>
  <c r="O50" i="5"/>
  <c r="Q50" i="5" s="1"/>
  <c r="M50" i="5" s="1"/>
  <c r="R50" i="5" s="1"/>
  <c r="S50" i="5" s="1"/>
  <c r="N125" i="5"/>
  <c r="O125" i="5"/>
  <c r="Q125" i="5" s="1"/>
  <c r="I125" i="5"/>
  <c r="P125" i="5"/>
  <c r="L125" i="5" s="1"/>
  <c r="P19" i="5"/>
  <c r="L19" i="5" s="1"/>
  <c r="O19" i="5"/>
  <c r="Q19" i="5" s="1"/>
  <c r="M19" i="5" s="1"/>
  <c r="R19" i="5" s="1"/>
  <c r="S19" i="5" s="1"/>
  <c r="N19" i="5"/>
  <c r="P18" i="5"/>
  <c r="L18" i="5" s="1"/>
  <c r="N18" i="5"/>
  <c r="O18" i="5"/>
  <c r="Q18" i="5" s="1"/>
  <c r="M63" i="5"/>
  <c r="R63" i="5" s="1"/>
  <c r="S63" i="5" s="1"/>
  <c r="N98" i="5"/>
  <c r="O98" i="5"/>
  <c r="Q98" i="5" s="1"/>
  <c r="P98" i="5"/>
  <c r="L98" i="5" s="1"/>
  <c r="N112" i="5"/>
  <c r="O112" i="5"/>
  <c r="Q112" i="5" s="1"/>
  <c r="M112" i="5" s="1"/>
  <c r="R112" i="5" s="1"/>
  <c r="S112" i="5" s="1"/>
  <c r="I112" i="5"/>
  <c r="P112" i="5"/>
  <c r="L112" i="5" s="1"/>
  <c r="N104" i="5"/>
  <c r="O104" i="5"/>
  <c r="Q104" i="5" s="1"/>
  <c r="P104" i="5"/>
  <c r="L104" i="5" s="1"/>
  <c r="M79" i="5"/>
  <c r="R79" i="5" s="1"/>
  <c r="S79" i="5" s="1"/>
  <c r="M108" i="5"/>
  <c r="R108" i="5" s="1"/>
  <c r="S108" i="5" s="1"/>
  <c r="M20" i="5"/>
  <c r="R20" i="5" s="1"/>
  <c r="S20" i="5" s="1"/>
  <c r="N56" i="5"/>
  <c r="O56" i="5"/>
  <c r="Q56" i="5" s="1"/>
  <c r="P56" i="5"/>
  <c r="L56" i="5" s="1"/>
  <c r="N30" i="5"/>
  <c r="O30" i="5"/>
  <c r="Q30" i="5" s="1"/>
  <c r="P30" i="5"/>
  <c r="L30" i="5" s="1"/>
  <c r="I30" i="5"/>
  <c r="M97" i="5"/>
  <c r="R97" i="5" s="1"/>
  <c r="S97" i="5" s="1"/>
  <c r="I136" i="5"/>
  <c r="N75" i="5"/>
  <c r="P75" i="5"/>
  <c r="L75" i="5" s="1"/>
  <c r="O75" i="5"/>
  <c r="Q75" i="5" s="1"/>
  <c r="N62" i="5"/>
  <c r="O62" i="5"/>
  <c r="Q62" i="5" s="1"/>
  <c r="P62" i="5"/>
  <c r="L62" i="5" s="1"/>
  <c r="I62" i="5"/>
  <c r="M105" i="5"/>
  <c r="R105" i="5" s="1"/>
  <c r="S105" i="5" s="1"/>
  <c r="M77" i="5"/>
  <c r="R77" i="5" s="1"/>
  <c r="S77" i="5" s="1"/>
  <c r="I88" i="5"/>
  <c r="N72" i="5"/>
  <c r="O72" i="5"/>
  <c r="Q72" i="5" s="1"/>
  <c r="P72" i="5"/>
  <c r="L72" i="5" s="1"/>
  <c r="P37" i="5"/>
  <c r="L37" i="5" s="1"/>
  <c r="N37" i="5"/>
  <c r="O37" i="5"/>
  <c r="Q37" i="5" s="1"/>
  <c r="P111" i="5"/>
  <c r="L111" i="5" s="1"/>
  <c r="I111" i="5"/>
  <c r="N111" i="5"/>
  <c r="O111" i="5"/>
  <c r="Q111" i="5" s="1"/>
  <c r="I19" i="5"/>
  <c r="M55" i="5"/>
  <c r="R55" i="5" s="1"/>
  <c r="S55" i="5" s="1"/>
  <c r="M100" i="5"/>
  <c r="R100" i="5" s="1"/>
  <c r="S100" i="5" s="1"/>
  <c r="M47" i="5"/>
  <c r="R47" i="5" s="1"/>
  <c r="S47" i="5" s="1"/>
  <c r="I51" i="5"/>
  <c r="I56" i="5"/>
  <c r="M71" i="5"/>
  <c r="R71" i="5" s="1"/>
  <c r="S71" i="5" s="1"/>
  <c r="M44" i="5"/>
  <c r="R44" i="5" s="1"/>
  <c r="S44" i="5" s="1"/>
  <c r="M113" i="5"/>
  <c r="R113" i="5" s="1"/>
  <c r="S113" i="5" s="1"/>
  <c r="N4" i="5"/>
  <c r="P4" i="5"/>
  <c r="L4" i="5" s="1"/>
  <c r="O4" i="5"/>
  <c r="Q4" i="5" s="1"/>
  <c r="O5" i="5"/>
  <c r="Q5" i="5" s="1"/>
  <c r="N5" i="5"/>
  <c r="P5" i="5"/>
  <c r="L5" i="5" s="1"/>
  <c r="G2" i="2"/>
  <c r="K2" i="2" s="1"/>
  <c r="I2" i="2" s="1"/>
  <c r="L2" i="2" s="1"/>
  <c r="M2" i="2" s="1"/>
  <c r="C16" i="5"/>
  <c r="C12" i="5"/>
  <c r="C11" i="5"/>
  <c r="U4" i="5"/>
  <c r="U3" i="5"/>
  <c r="G2" i="5"/>
  <c r="F23" i="8" l="1"/>
  <c r="E23" i="8"/>
  <c r="D24" i="8"/>
  <c r="G24" i="8" s="1"/>
  <c r="H24" i="8" s="1"/>
  <c r="M45" i="5"/>
  <c r="R45" i="5" s="1"/>
  <c r="S45" i="5" s="1"/>
  <c r="M107" i="5"/>
  <c r="R107" i="5" s="1"/>
  <c r="S107" i="5" s="1"/>
  <c r="M111" i="5"/>
  <c r="R111" i="5" s="1"/>
  <c r="S111" i="5" s="1"/>
  <c r="M37" i="5"/>
  <c r="R37" i="5" s="1"/>
  <c r="S37" i="5" s="1"/>
  <c r="M134" i="5"/>
  <c r="R134" i="5" s="1"/>
  <c r="S134" i="5" s="1"/>
  <c r="M90" i="5"/>
  <c r="R90" i="5" s="1"/>
  <c r="S90" i="5" s="1"/>
  <c r="M121" i="5"/>
  <c r="R121" i="5" s="1"/>
  <c r="S121" i="5" s="1"/>
  <c r="M58" i="5"/>
  <c r="R58" i="5" s="1"/>
  <c r="S58" i="5" s="1"/>
  <c r="M136" i="5"/>
  <c r="R136" i="5" s="1"/>
  <c r="S136" i="5" s="1"/>
  <c r="M16" i="5"/>
  <c r="R16" i="5" s="1"/>
  <c r="S16" i="5" s="1"/>
  <c r="M72" i="5"/>
  <c r="R72" i="5" s="1"/>
  <c r="S72" i="5" s="1"/>
  <c r="M98" i="5"/>
  <c r="R98" i="5" s="1"/>
  <c r="S98" i="5" s="1"/>
  <c r="M75" i="5"/>
  <c r="R75" i="5" s="1"/>
  <c r="S75" i="5" s="1"/>
  <c r="M104" i="5"/>
  <c r="R104" i="5" s="1"/>
  <c r="S104" i="5" s="1"/>
  <c r="M48" i="5"/>
  <c r="R48" i="5" s="1"/>
  <c r="S48" i="5" s="1"/>
  <c r="M62" i="5"/>
  <c r="R62" i="5" s="1"/>
  <c r="S62" i="5" s="1"/>
  <c r="M117" i="5"/>
  <c r="R117" i="5" s="1"/>
  <c r="S117" i="5" s="1"/>
  <c r="M30" i="5"/>
  <c r="R30" i="5" s="1"/>
  <c r="S30" i="5" s="1"/>
  <c r="M119" i="5"/>
  <c r="R119" i="5" s="1"/>
  <c r="S119" i="5" s="1"/>
  <c r="M51" i="5"/>
  <c r="R51" i="5" s="1"/>
  <c r="S51" i="5" s="1"/>
  <c r="M32" i="5"/>
  <c r="R32" i="5" s="1"/>
  <c r="S32" i="5" s="1"/>
  <c r="M56" i="5"/>
  <c r="R56" i="5" s="1"/>
  <c r="S56" i="5" s="1"/>
  <c r="M18" i="5"/>
  <c r="R18" i="5" s="1"/>
  <c r="S18" i="5" s="1"/>
  <c r="M125" i="5"/>
  <c r="R125" i="5" s="1"/>
  <c r="S125" i="5" s="1"/>
  <c r="M69" i="5"/>
  <c r="R69" i="5" s="1"/>
  <c r="S69" i="5" s="1"/>
  <c r="M24" i="5"/>
  <c r="R24" i="5" s="1"/>
  <c r="S24" i="5" s="1"/>
  <c r="M88" i="5"/>
  <c r="R88" i="5" s="1"/>
  <c r="S88" i="5" s="1"/>
  <c r="M4" i="5"/>
  <c r="R4" i="5" s="1"/>
  <c r="M5" i="5"/>
  <c r="R5" i="5" s="1"/>
  <c r="S5" i="5"/>
  <c r="J2" i="5"/>
  <c r="P2" i="5" s="1"/>
  <c r="L2" i="5" s="1"/>
  <c r="S4" i="5"/>
  <c r="S3" i="5"/>
  <c r="J2" i="2"/>
  <c r="U6" i="5"/>
  <c r="G3" i="1"/>
  <c r="G4" i="1"/>
  <c r="G5" i="1"/>
  <c r="G6" i="1"/>
  <c r="G7" i="1"/>
  <c r="G8" i="1"/>
  <c r="G9" i="1"/>
  <c r="G10" i="1"/>
  <c r="J10" i="1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H10" i="1"/>
  <c r="C16" i="1"/>
  <c r="S4" i="1"/>
  <c r="S3" i="1"/>
  <c r="I23" i="8" l="1"/>
  <c r="F24" i="8"/>
  <c r="E24" i="8"/>
  <c r="I24" i="8"/>
  <c r="D25" i="8"/>
  <c r="G25" i="8" s="1"/>
  <c r="H25" i="8" s="1"/>
  <c r="Q2" i="5"/>
  <c r="N2" i="5"/>
  <c r="I2" i="5"/>
  <c r="I10" i="1"/>
  <c r="L10" i="1" s="1"/>
  <c r="J4" i="1"/>
  <c r="F25" i="8" l="1"/>
  <c r="E25" i="8"/>
  <c r="D26" i="8"/>
  <c r="P10" i="1"/>
  <c r="M2" i="5"/>
  <c r="R2" i="5" s="1"/>
  <c r="S2" i="5" s="1"/>
  <c r="G2" i="1"/>
  <c r="H2" i="1"/>
  <c r="H3" i="1"/>
  <c r="M4" i="1"/>
  <c r="N4" i="1" s="1"/>
  <c r="O4" i="1" s="1"/>
  <c r="H4" i="1"/>
  <c r="I4" i="1" s="1"/>
  <c r="L4" i="1" s="1"/>
  <c r="H5" i="1"/>
  <c r="J5" i="1"/>
  <c r="M5" i="1" s="1"/>
  <c r="N5" i="1" s="1"/>
  <c r="O5" i="1" s="1"/>
  <c r="J6" i="1"/>
  <c r="M6" i="1" s="1"/>
  <c r="N6" i="1" s="1"/>
  <c r="O6" i="1" s="1"/>
  <c r="H6" i="1"/>
  <c r="H7" i="1"/>
  <c r="J7" i="1"/>
  <c r="M7" i="1" s="1"/>
  <c r="N7" i="1" s="1"/>
  <c r="O7" i="1" s="1"/>
  <c r="J8" i="1"/>
  <c r="M8" i="1" s="1"/>
  <c r="N8" i="1" s="1"/>
  <c r="O8" i="1" s="1"/>
  <c r="H8" i="1"/>
  <c r="J9" i="1"/>
  <c r="M9" i="1" s="1"/>
  <c r="N9" i="1" s="1"/>
  <c r="O9" i="1" s="1"/>
  <c r="H9" i="1"/>
  <c r="C11" i="1"/>
  <c r="H11" i="1"/>
  <c r="C12" i="1"/>
  <c r="J12" i="1"/>
  <c r="M12" i="1" s="1"/>
  <c r="N12" i="1" s="1"/>
  <c r="O12" i="1" s="1"/>
  <c r="H12" i="1"/>
  <c r="H13" i="1"/>
  <c r="J14" i="1"/>
  <c r="M14" i="1" s="1"/>
  <c r="N14" i="1" s="1"/>
  <c r="O14" i="1" s="1"/>
  <c r="H14" i="1"/>
  <c r="H15" i="1"/>
  <c r="J15" i="1"/>
  <c r="M15" i="1" s="1"/>
  <c r="N15" i="1" s="1"/>
  <c r="O15" i="1" s="1"/>
  <c r="J16" i="1"/>
  <c r="M16" i="1" s="1"/>
  <c r="N16" i="1" s="1"/>
  <c r="O16" i="1" s="1"/>
  <c r="H16" i="1"/>
  <c r="H17" i="1"/>
  <c r="J17" i="1"/>
  <c r="M17" i="1" s="1"/>
  <c r="N17" i="1" s="1"/>
  <c r="O17" i="1" s="1"/>
  <c r="J18" i="1"/>
  <c r="M18" i="1" s="1"/>
  <c r="N18" i="1" s="1"/>
  <c r="O18" i="1" s="1"/>
  <c r="H18" i="1"/>
  <c r="J19" i="1"/>
  <c r="M19" i="1" s="1"/>
  <c r="N19" i="1" s="1"/>
  <c r="O19" i="1" s="1"/>
  <c r="H19" i="1"/>
  <c r="J20" i="1"/>
  <c r="M20" i="1" s="1"/>
  <c r="N20" i="1" s="1"/>
  <c r="O20" i="1" s="1"/>
  <c r="H20" i="1"/>
  <c r="J21" i="1"/>
  <c r="M21" i="1" s="1"/>
  <c r="N21" i="1" s="1"/>
  <c r="O21" i="1" s="1"/>
  <c r="H21" i="1"/>
  <c r="J22" i="1"/>
  <c r="M22" i="1" s="1"/>
  <c r="N22" i="1" s="1"/>
  <c r="O22" i="1" s="1"/>
  <c r="H22" i="1"/>
  <c r="J23" i="1"/>
  <c r="M23" i="1" s="1"/>
  <c r="N23" i="1" s="1"/>
  <c r="O23" i="1" s="1"/>
  <c r="H23" i="1"/>
  <c r="H24" i="1"/>
  <c r="J25" i="1"/>
  <c r="M25" i="1" s="1"/>
  <c r="N25" i="1" s="1"/>
  <c r="O25" i="1" s="1"/>
  <c r="H25" i="1"/>
  <c r="J26" i="1"/>
  <c r="M26" i="1" s="1"/>
  <c r="N26" i="1" s="1"/>
  <c r="H26" i="1"/>
  <c r="G27" i="1"/>
  <c r="J27" i="1" s="1"/>
  <c r="M27" i="1" s="1"/>
  <c r="N27" i="1" s="1"/>
  <c r="H27" i="1"/>
  <c r="G28" i="1"/>
  <c r="J28" i="1" s="1"/>
  <c r="M28" i="1" s="1"/>
  <c r="N28" i="1" s="1"/>
  <c r="H28" i="1"/>
  <c r="G29" i="1"/>
  <c r="H29" i="1"/>
  <c r="G30" i="1"/>
  <c r="J30" i="1" s="1"/>
  <c r="M30" i="1" s="1"/>
  <c r="N30" i="1" s="1"/>
  <c r="H30" i="1"/>
  <c r="G31" i="1"/>
  <c r="J31" i="1" s="1"/>
  <c r="M31" i="1" s="1"/>
  <c r="N31" i="1" s="1"/>
  <c r="H31" i="1"/>
  <c r="G32" i="1"/>
  <c r="J32" i="1" s="1"/>
  <c r="M32" i="1" s="1"/>
  <c r="N32" i="1" s="1"/>
  <c r="H32" i="1"/>
  <c r="G33" i="1"/>
  <c r="J33" i="1" s="1"/>
  <c r="M33" i="1" s="1"/>
  <c r="N33" i="1" s="1"/>
  <c r="H33" i="1"/>
  <c r="G34" i="1"/>
  <c r="J34" i="1" s="1"/>
  <c r="M34" i="1" s="1"/>
  <c r="N34" i="1" s="1"/>
  <c r="H34" i="1"/>
  <c r="G35" i="1"/>
  <c r="J35" i="1" s="1"/>
  <c r="M35" i="1" s="1"/>
  <c r="N35" i="1" s="1"/>
  <c r="H35" i="1"/>
  <c r="G36" i="1"/>
  <c r="H36" i="1"/>
  <c r="G37" i="1"/>
  <c r="J37" i="1" s="1"/>
  <c r="M37" i="1" s="1"/>
  <c r="N37" i="1" s="1"/>
  <c r="H37" i="1"/>
  <c r="G38" i="1"/>
  <c r="J38" i="1" s="1"/>
  <c r="H38" i="1"/>
  <c r="G39" i="1"/>
  <c r="J39" i="1" s="1"/>
  <c r="M39" i="1" s="1"/>
  <c r="N39" i="1" s="1"/>
  <c r="H39" i="1"/>
  <c r="G40" i="1"/>
  <c r="H40" i="1"/>
  <c r="G41" i="1"/>
  <c r="H41" i="1"/>
  <c r="G42" i="1"/>
  <c r="J42" i="1" s="1"/>
  <c r="M42" i="1" s="1"/>
  <c r="N42" i="1" s="1"/>
  <c r="H42" i="1"/>
  <c r="G43" i="1"/>
  <c r="J43" i="1" s="1"/>
  <c r="M43" i="1" s="1"/>
  <c r="N43" i="1" s="1"/>
  <c r="H43" i="1"/>
  <c r="G44" i="1"/>
  <c r="J44" i="1" s="1"/>
  <c r="M44" i="1" s="1"/>
  <c r="N44" i="1" s="1"/>
  <c r="H44" i="1"/>
  <c r="G45" i="1"/>
  <c r="J45" i="1" s="1"/>
  <c r="M45" i="1" s="1"/>
  <c r="N45" i="1" s="1"/>
  <c r="H45" i="1"/>
  <c r="G46" i="1"/>
  <c r="J46" i="1" s="1"/>
  <c r="M46" i="1" s="1"/>
  <c r="N46" i="1" s="1"/>
  <c r="H46" i="1"/>
  <c r="G47" i="1"/>
  <c r="J47" i="1" s="1"/>
  <c r="M47" i="1" s="1"/>
  <c r="N47" i="1" s="1"/>
  <c r="H47" i="1"/>
  <c r="G48" i="1"/>
  <c r="J48" i="1" s="1"/>
  <c r="M48" i="1" s="1"/>
  <c r="N48" i="1" s="1"/>
  <c r="H48" i="1"/>
  <c r="G49" i="1"/>
  <c r="J49" i="1" s="1"/>
  <c r="M49" i="1" s="1"/>
  <c r="N49" i="1" s="1"/>
  <c r="H49" i="1"/>
  <c r="G50" i="1"/>
  <c r="J50" i="1" s="1"/>
  <c r="M50" i="1" s="1"/>
  <c r="N50" i="1" s="1"/>
  <c r="H50" i="1"/>
  <c r="G51" i="1"/>
  <c r="J51" i="1" s="1"/>
  <c r="M51" i="1" s="1"/>
  <c r="N51" i="1" s="1"/>
  <c r="H51" i="1"/>
  <c r="G52" i="1"/>
  <c r="J52" i="1" s="1"/>
  <c r="M52" i="1" s="1"/>
  <c r="N52" i="1" s="1"/>
  <c r="H52" i="1"/>
  <c r="G53" i="1"/>
  <c r="J53" i="1" s="1"/>
  <c r="M53" i="1" s="1"/>
  <c r="N53" i="1" s="1"/>
  <c r="H53" i="1"/>
  <c r="G54" i="1"/>
  <c r="J54" i="1" s="1"/>
  <c r="M54" i="1" s="1"/>
  <c r="N54" i="1" s="1"/>
  <c r="H54" i="1"/>
  <c r="G55" i="1"/>
  <c r="H55" i="1"/>
  <c r="G56" i="1"/>
  <c r="J56" i="1" s="1"/>
  <c r="M56" i="1" s="1"/>
  <c r="N56" i="1" s="1"/>
  <c r="H56" i="1"/>
  <c r="G57" i="1"/>
  <c r="H57" i="1"/>
  <c r="G58" i="1"/>
  <c r="H58" i="1"/>
  <c r="G59" i="1"/>
  <c r="J59" i="1" s="1"/>
  <c r="M59" i="1" s="1"/>
  <c r="N59" i="1" s="1"/>
  <c r="H59" i="1"/>
  <c r="G60" i="1"/>
  <c r="J60" i="1" s="1"/>
  <c r="M60" i="1" s="1"/>
  <c r="N60" i="1" s="1"/>
  <c r="H60" i="1"/>
  <c r="G61" i="1"/>
  <c r="J61" i="1" s="1"/>
  <c r="M61" i="1" s="1"/>
  <c r="N61" i="1" s="1"/>
  <c r="H61" i="1"/>
  <c r="G62" i="1"/>
  <c r="J62" i="1" s="1"/>
  <c r="M62" i="1" s="1"/>
  <c r="N62" i="1" s="1"/>
  <c r="H62" i="1"/>
  <c r="G63" i="1"/>
  <c r="J63" i="1" s="1"/>
  <c r="M63" i="1" s="1"/>
  <c r="N63" i="1" s="1"/>
  <c r="H63" i="1"/>
  <c r="G64" i="1"/>
  <c r="J64" i="1" s="1"/>
  <c r="M64" i="1" s="1"/>
  <c r="N64" i="1" s="1"/>
  <c r="H64" i="1"/>
  <c r="G65" i="1"/>
  <c r="J65" i="1" s="1"/>
  <c r="M65" i="1" s="1"/>
  <c r="N65" i="1" s="1"/>
  <c r="H65" i="1"/>
  <c r="G66" i="1"/>
  <c r="J66" i="1" s="1"/>
  <c r="M66" i="1" s="1"/>
  <c r="N66" i="1" s="1"/>
  <c r="H66" i="1"/>
  <c r="G67" i="1"/>
  <c r="J67" i="1" s="1"/>
  <c r="M67" i="1" s="1"/>
  <c r="N67" i="1" s="1"/>
  <c r="H67" i="1"/>
  <c r="G68" i="1"/>
  <c r="J68" i="1" s="1"/>
  <c r="M68" i="1" s="1"/>
  <c r="N68" i="1" s="1"/>
  <c r="H68" i="1"/>
  <c r="G69" i="1"/>
  <c r="J69" i="1" s="1"/>
  <c r="M69" i="1" s="1"/>
  <c r="N69" i="1" s="1"/>
  <c r="H69" i="1"/>
  <c r="G70" i="1"/>
  <c r="J70" i="1" s="1"/>
  <c r="M70" i="1" s="1"/>
  <c r="N70" i="1" s="1"/>
  <c r="H70" i="1"/>
  <c r="G71" i="1"/>
  <c r="J71" i="1" s="1"/>
  <c r="M71" i="1" s="1"/>
  <c r="N71" i="1" s="1"/>
  <c r="H71" i="1"/>
  <c r="G72" i="1"/>
  <c r="J72" i="1" s="1"/>
  <c r="M72" i="1" s="1"/>
  <c r="N72" i="1" s="1"/>
  <c r="H72" i="1"/>
  <c r="G73" i="1"/>
  <c r="H73" i="1"/>
  <c r="G74" i="1"/>
  <c r="J74" i="1" s="1"/>
  <c r="M74" i="1" s="1"/>
  <c r="N74" i="1" s="1"/>
  <c r="H74" i="1"/>
  <c r="G75" i="1"/>
  <c r="J75" i="1" s="1"/>
  <c r="M75" i="1" s="1"/>
  <c r="N75" i="1" s="1"/>
  <c r="H75" i="1"/>
  <c r="G76" i="1"/>
  <c r="J76" i="1" s="1"/>
  <c r="M76" i="1" s="1"/>
  <c r="N76" i="1" s="1"/>
  <c r="H76" i="1"/>
  <c r="G77" i="1"/>
  <c r="J77" i="1" s="1"/>
  <c r="M77" i="1" s="1"/>
  <c r="N77" i="1" s="1"/>
  <c r="H77" i="1"/>
  <c r="G78" i="1"/>
  <c r="J78" i="1" s="1"/>
  <c r="M78" i="1" s="1"/>
  <c r="N78" i="1" s="1"/>
  <c r="H78" i="1"/>
  <c r="G79" i="1"/>
  <c r="J79" i="1" s="1"/>
  <c r="M79" i="1" s="1"/>
  <c r="N79" i="1" s="1"/>
  <c r="H79" i="1"/>
  <c r="G80" i="1"/>
  <c r="J80" i="1" s="1"/>
  <c r="M80" i="1" s="1"/>
  <c r="N80" i="1" s="1"/>
  <c r="H80" i="1"/>
  <c r="G81" i="1"/>
  <c r="J81" i="1" s="1"/>
  <c r="M81" i="1" s="1"/>
  <c r="N81" i="1" s="1"/>
  <c r="H81" i="1"/>
  <c r="G82" i="1"/>
  <c r="J82" i="1" s="1"/>
  <c r="M82" i="1" s="1"/>
  <c r="N82" i="1" s="1"/>
  <c r="H82" i="1"/>
  <c r="G83" i="1"/>
  <c r="J83" i="1" s="1"/>
  <c r="M83" i="1" s="1"/>
  <c r="N83" i="1" s="1"/>
  <c r="H83" i="1"/>
  <c r="G84" i="1"/>
  <c r="J84" i="1" s="1"/>
  <c r="M84" i="1" s="1"/>
  <c r="N84" i="1" s="1"/>
  <c r="H84" i="1"/>
  <c r="G85" i="1"/>
  <c r="J85" i="1" s="1"/>
  <c r="M85" i="1" s="1"/>
  <c r="N85" i="1" s="1"/>
  <c r="H85" i="1"/>
  <c r="G86" i="1"/>
  <c r="H86" i="1"/>
  <c r="G87" i="1"/>
  <c r="J87" i="1" s="1"/>
  <c r="M87" i="1" s="1"/>
  <c r="N87" i="1" s="1"/>
  <c r="H87" i="1"/>
  <c r="G88" i="1"/>
  <c r="J88" i="1" s="1"/>
  <c r="M88" i="1" s="1"/>
  <c r="N88" i="1" s="1"/>
  <c r="H88" i="1"/>
  <c r="G89" i="1"/>
  <c r="H89" i="1"/>
  <c r="G90" i="1"/>
  <c r="J90" i="1" s="1"/>
  <c r="M90" i="1" s="1"/>
  <c r="N90" i="1" s="1"/>
  <c r="H90" i="1"/>
  <c r="G91" i="1"/>
  <c r="J91" i="1" s="1"/>
  <c r="M91" i="1" s="1"/>
  <c r="N91" i="1" s="1"/>
  <c r="H91" i="1"/>
  <c r="G92" i="1"/>
  <c r="J92" i="1" s="1"/>
  <c r="M92" i="1" s="1"/>
  <c r="N92" i="1" s="1"/>
  <c r="H92" i="1"/>
  <c r="G93" i="1"/>
  <c r="J93" i="1" s="1"/>
  <c r="M93" i="1" s="1"/>
  <c r="N93" i="1" s="1"/>
  <c r="H93" i="1"/>
  <c r="G94" i="1"/>
  <c r="J94" i="1" s="1"/>
  <c r="M94" i="1" s="1"/>
  <c r="N94" i="1" s="1"/>
  <c r="H94" i="1"/>
  <c r="G95" i="1"/>
  <c r="J95" i="1" s="1"/>
  <c r="M95" i="1" s="1"/>
  <c r="N95" i="1" s="1"/>
  <c r="H95" i="1"/>
  <c r="G96" i="1"/>
  <c r="J96" i="1" s="1"/>
  <c r="H96" i="1"/>
  <c r="G97" i="1"/>
  <c r="J97" i="1" s="1"/>
  <c r="M97" i="1" s="1"/>
  <c r="N97" i="1" s="1"/>
  <c r="H97" i="1"/>
  <c r="G98" i="1"/>
  <c r="J98" i="1" s="1"/>
  <c r="M98" i="1" s="1"/>
  <c r="N98" i="1" s="1"/>
  <c r="H98" i="1"/>
  <c r="G99" i="1"/>
  <c r="J99" i="1" s="1"/>
  <c r="M99" i="1" s="1"/>
  <c r="N99" i="1" s="1"/>
  <c r="H99" i="1"/>
  <c r="G100" i="1"/>
  <c r="J100" i="1" s="1"/>
  <c r="M100" i="1" s="1"/>
  <c r="N100" i="1" s="1"/>
  <c r="H100" i="1"/>
  <c r="G101" i="1"/>
  <c r="J101" i="1" s="1"/>
  <c r="M101" i="1" s="1"/>
  <c r="N101" i="1" s="1"/>
  <c r="H101" i="1"/>
  <c r="G102" i="1"/>
  <c r="H102" i="1"/>
  <c r="G103" i="1"/>
  <c r="J103" i="1" s="1"/>
  <c r="M103" i="1" s="1"/>
  <c r="N103" i="1" s="1"/>
  <c r="H103" i="1"/>
  <c r="G104" i="1"/>
  <c r="J104" i="1" s="1"/>
  <c r="M104" i="1" s="1"/>
  <c r="N104" i="1" s="1"/>
  <c r="H104" i="1"/>
  <c r="G105" i="1"/>
  <c r="H105" i="1"/>
  <c r="G106" i="1"/>
  <c r="J106" i="1" s="1"/>
  <c r="M106" i="1" s="1"/>
  <c r="N106" i="1" s="1"/>
  <c r="H106" i="1"/>
  <c r="G107" i="1"/>
  <c r="J107" i="1" s="1"/>
  <c r="M107" i="1" s="1"/>
  <c r="N107" i="1" s="1"/>
  <c r="H107" i="1"/>
  <c r="G108" i="1"/>
  <c r="J108" i="1" s="1"/>
  <c r="M108" i="1" s="1"/>
  <c r="N108" i="1" s="1"/>
  <c r="H108" i="1"/>
  <c r="G109" i="1"/>
  <c r="J109" i="1" s="1"/>
  <c r="M109" i="1" s="1"/>
  <c r="N109" i="1" s="1"/>
  <c r="H109" i="1"/>
  <c r="G110" i="1"/>
  <c r="H110" i="1"/>
  <c r="G111" i="1"/>
  <c r="J111" i="1" s="1"/>
  <c r="M111" i="1" s="1"/>
  <c r="N111" i="1" s="1"/>
  <c r="H111" i="1"/>
  <c r="G112" i="1"/>
  <c r="J112" i="1" s="1"/>
  <c r="M112" i="1" s="1"/>
  <c r="N112" i="1" s="1"/>
  <c r="H112" i="1"/>
  <c r="G113" i="1"/>
  <c r="J113" i="1" s="1"/>
  <c r="M113" i="1" s="1"/>
  <c r="N113" i="1" s="1"/>
  <c r="H113" i="1"/>
  <c r="G114" i="1"/>
  <c r="J114" i="1" s="1"/>
  <c r="M114" i="1" s="1"/>
  <c r="N114" i="1" s="1"/>
  <c r="H114" i="1"/>
  <c r="G115" i="1"/>
  <c r="J115" i="1" s="1"/>
  <c r="M115" i="1" s="1"/>
  <c r="N115" i="1" s="1"/>
  <c r="H115" i="1"/>
  <c r="G116" i="1"/>
  <c r="J116" i="1" s="1"/>
  <c r="M116" i="1" s="1"/>
  <c r="N116" i="1" s="1"/>
  <c r="H116" i="1"/>
  <c r="G117" i="1"/>
  <c r="J117" i="1" s="1"/>
  <c r="M117" i="1" s="1"/>
  <c r="N117" i="1" s="1"/>
  <c r="H117" i="1"/>
  <c r="G118" i="1"/>
  <c r="J118" i="1" s="1"/>
  <c r="M118" i="1" s="1"/>
  <c r="N118" i="1" s="1"/>
  <c r="H118" i="1"/>
  <c r="G119" i="1"/>
  <c r="J119" i="1" s="1"/>
  <c r="M119" i="1" s="1"/>
  <c r="N119" i="1" s="1"/>
  <c r="H119" i="1"/>
  <c r="G120" i="1"/>
  <c r="J120" i="1" s="1"/>
  <c r="M120" i="1" s="1"/>
  <c r="N120" i="1" s="1"/>
  <c r="H120" i="1"/>
  <c r="G121" i="1"/>
  <c r="J121" i="1" s="1"/>
  <c r="M121" i="1" s="1"/>
  <c r="N121" i="1" s="1"/>
  <c r="H121" i="1"/>
  <c r="G122" i="1"/>
  <c r="J122" i="1" s="1"/>
  <c r="M122" i="1" s="1"/>
  <c r="N122" i="1" s="1"/>
  <c r="H122" i="1"/>
  <c r="G123" i="1"/>
  <c r="J123" i="1" s="1"/>
  <c r="M123" i="1" s="1"/>
  <c r="N123" i="1" s="1"/>
  <c r="H123" i="1"/>
  <c r="G124" i="1"/>
  <c r="J124" i="1" s="1"/>
  <c r="M124" i="1" s="1"/>
  <c r="N124" i="1" s="1"/>
  <c r="H124" i="1"/>
  <c r="G125" i="1"/>
  <c r="J125" i="1" s="1"/>
  <c r="M125" i="1" s="1"/>
  <c r="N125" i="1" s="1"/>
  <c r="H125" i="1"/>
  <c r="G126" i="1"/>
  <c r="J126" i="1" s="1"/>
  <c r="M126" i="1" s="1"/>
  <c r="N126" i="1" s="1"/>
  <c r="H126" i="1"/>
  <c r="G127" i="1"/>
  <c r="J127" i="1" s="1"/>
  <c r="M127" i="1" s="1"/>
  <c r="N127" i="1" s="1"/>
  <c r="H127" i="1"/>
  <c r="G128" i="1"/>
  <c r="J128" i="1" s="1"/>
  <c r="M128" i="1" s="1"/>
  <c r="N128" i="1" s="1"/>
  <c r="H128" i="1"/>
  <c r="G129" i="1"/>
  <c r="J129" i="1" s="1"/>
  <c r="M129" i="1" s="1"/>
  <c r="N129" i="1" s="1"/>
  <c r="H129" i="1"/>
  <c r="G130" i="1"/>
  <c r="J130" i="1" s="1"/>
  <c r="M130" i="1" s="1"/>
  <c r="N130" i="1" s="1"/>
  <c r="H130" i="1"/>
  <c r="G131" i="1"/>
  <c r="J131" i="1" s="1"/>
  <c r="M131" i="1" s="1"/>
  <c r="N131" i="1" s="1"/>
  <c r="H131" i="1"/>
  <c r="G132" i="1"/>
  <c r="J132" i="1" s="1"/>
  <c r="M132" i="1" s="1"/>
  <c r="N132" i="1" s="1"/>
  <c r="H132" i="1"/>
  <c r="G133" i="1"/>
  <c r="J133" i="1" s="1"/>
  <c r="M133" i="1" s="1"/>
  <c r="N133" i="1" s="1"/>
  <c r="H133" i="1"/>
  <c r="G134" i="1"/>
  <c r="J134" i="1" s="1"/>
  <c r="M134" i="1" s="1"/>
  <c r="N134" i="1" s="1"/>
  <c r="H134" i="1"/>
  <c r="G135" i="1"/>
  <c r="J135" i="1" s="1"/>
  <c r="M135" i="1" s="1"/>
  <c r="N135" i="1" s="1"/>
  <c r="H135" i="1"/>
  <c r="G136" i="1"/>
  <c r="J136" i="1" s="1"/>
  <c r="M136" i="1" s="1"/>
  <c r="N136" i="1" s="1"/>
  <c r="H136" i="1"/>
  <c r="G137" i="1"/>
  <c r="J137" i="1" s="1"/>
  <c r="M137" i="1" s="1"/>
  <c r="N137" i="1" s="1"/>
  <c r="H137" i="1"/>
  <c r="G138" i="1"/>
  <c r="J138" i="1" s="1"/>
  <c r="M138" i="1" s="1"/>
  <c r="N138" i="1" s="1"/>
  <c r="H138" i="1"/>
  <c r="G26" i="8" l="1"/>
  <c r="H26" i="8" s="1"/>
  <c r="I26" i="8" s="1"/>
  <c r="D27" i="8"/>
  <c r="G27" i="8" s="1"/>
  <c r="H27" i="8" s="1"/>
  <c r="I25" i="8"/>
  <c r="F26" i="8"/>
  <c r="E26" i="8"/>
  <c r="P4" i="1"/>
  <c r="I28" i="1"/>
  <c r="I26" i="1"/>
  <c r="L26" i="1" s="1"/>
  <c r="I97" i="1"/>
  <c r="L97" i="1" s="1"/>
  <c r="I109" i="1"/>
  <c r="L109" i="1" s="1"/>
  <c r="I107" i="1"/>
  <c r="J2" i="1"/>
  <c r="S6" i="1" s="1"/>
  <c r="I118" i="1"/>
  <c r="I138" i="1"/>
  <c r="L138" i="1" s="1"/>
  <c r="I96" i="1"/>
  <c r="L96" i="1" s="1"/>
  <c r="M96" i="1"/>
  <c r="N96" i="1" s="1"/>
  <c r="I85" i="1"/>
  <c r="L85" i="1" s="1"/>
  <c r="I38" i="1"/>
  <c r="L38" i="1" s="1"/>
  <c r="M38" i="1"/>
  <c r="N38" i="1" s="1"/>
  <c r="I77" i="1"/>
  <c r="L77" i="1" s="1"/>
  <c r="I32" i="1"/>
  <c r="L32" i="1" s="1"/>
  <c r="I121" i="1"/>
  <c r="L121" i="1" s="1"/>
  <c r="I81" i="1"/>
  <c r="L81" i="1" s="1"/>
  <c r="I39" i="1"/>
  <c r="L39" i="1" s="1"/>
  <c r="I15" i="1"/>
  <c r="L15" i="1" s="1"/>
  <c r="I126" i="1"/>
  <c r="L126" i="1" s="1"/>
  <c r="I120" i="1"/>
  <c r="L120" i="1" s="1"/>
  <c r="I112" i="1"/>
  <c r="L112" i="1" s="1"/>
  <c r="I101" i="1"/>
  <c r="L101" i="1" s="1"/>
  <c r="I94" i="1"/>
  <c r="L94" i="1" s="1"/>
  <c r="I82" i="1"/>
  <c r="L82" i="1" s="1"/>
  <c r="I79" i="1"/>
  <c r="L79" i="1" s="1"/>
  <c r="I72" i="1"/>
  <c r="L72" i="1" s="1"/>
  <c r="I67" i="1"/>
  <c r="L67" i="1" s="1"/>
  <c r="I53" i="1"/>
  <c r="L53" i="1" s="1"/>
  <c r="I51" i="1"/>
  <c r="L51" i="1" s="1"/>
  <c r="I44" i="1"/>
  <c r="L44" i="1" s="1"/>
  <c r="I16" i="1"/>
  <c r="L16" i="1" s="1"/>
  <c r="I80" i="1"/>
  <c r="L80" i="1" s="1"/>
  <c r="I60" i="1"/>
  <c r="L60" i="1" s="1"/>
  <c r="I64" i="1"/>
  <c r="L64" i="1" s="1"/>
  <c r="I27" i="1"/>
  <c r="L27" i="1" s="1"/>
  <c r="I12" i="1"/>
  <c r="L12" i="1" s="1"/>
  <c r="I100" i="1"/>
  <c r="L100" i="1" s="1"/>
  <c r="I52" i="1"/>
  <c r="L52" i="1" s="1"/>
  <c r="I137" i="1"/>
  <c r="L137" i="1" s="1"/>
  <c r="I108" i="1"/>
  <c r="L108" i="1" s="1"/>
  <c r="I92" i="1"/>
  <c r="L92" i="1" s="1"/>
  <c r="I84" i="1"/>
  <c r="L84" i="1" s="1"/>
  <c r="I43" i="1"/>
  <c r="L43" i="1" s="1"/>
  <c r="I69" i="1"/>
  <c r="L69" i="1" s="1"/>
  <c r="J58" i="1"/>
  <c r="M58" i="1" s="1"/>
  <c r="N58" i="1" s="1"/>
  <c r="I130" i="1"/>
  <c r="L130" i="1" s="1"/>
  <c r="I125" i="1"/>
  <c r="L125" i="1" s="1"/>
  <c r="I90" i="1"/>
  <c r="L90" i="1" s="1"/>
  <c r="I68" i="1"/>
  <c r="L68" i="1" s="1"/>
  <c r="L28" i="1"/>
  <c r="I25" i="1"/>
  <c r="L25" i="1" s="1"/>
  <c r="I113" i="1"/>
  <c r="L113" i="1" s="1"/>
  <c r="I37" i="1"/>
  <c r="L37" i="1" s="1"/>
  <c r="I31" i="1"/>
  <c r="L31" i="1" s="1"/>
  <c r="I106" i="1"/>
  <c r="L106" i="1" s="1"/>
  <c r="I98" i="1"/>
  <c r="L98" i="1" s="1"/>
  <c r="I62" i="1"/>
  <c r="L62" i="1" s="1"/>
  <c r="I48" i="1"/>
  <c r="L48" i="1" s="1"/>
  <c r="I47" i="1"/>
  <c r="L47" i="1" s="1"/>
  <c r="I20" i="1"/>
  <c r="L20" i="1" s="1"/>
  <c r="I6" i="1"/>
  <c r="L6" i="1" s="1"/>
  <c r="I124" i="1"/>
  <c r="L124" i="1" s="1"/>
  <c r="I136" i="1"/>
  <c r="L136" i="1" s="1"/>
  <c r="I128" i="1"/>
  <c r="L128" i="1" s="1"/>
  <c r="I135" i="1"/>
  <c r="I95" i="1"/>
  <c r="L95" i="1" s="1"/>
  <c r="I133" i="1"/>
  <c r="L133" i="1" s="1"/>
  <c r="I123" i="1"/>
  <c r="L123" i="1" s="1"/>
  <c r="I115" i="1"/>
  <c r="L115" i="1" s="1"/>
  <c r="I99" i="1"/>
  <c r="L99" i="1" s="1"/>
  <c r="I75" i="1"/>
  <c r="L75" i="1" s="1"/>
  <c r="I129" i="1"/>
  <c r="L129" i="1" s="1"/>
  <c r="I122" i="1"/>
  <c r="L122" i="1" s="1"/>
  <c r="I117" i="1"/>
  <c r="L117" i="1" s="1"/>
  <c r="I114" i="1"/>
  <c r="L114" i="1" s="1"/>
  <c r="I104" i="1"/>
  <c r="L104" i="1" s="1"/>
  <c r="I103" i="1"/>
  <c r="L103" i="1" s="1"/>
  <c r="I91" i="1"/>
  <c r="L91" i="1" s="1"/>
  <c r="I132" i="1"/>
  <c r="L132" i="1" s="1"/>
  <c r="I131" i="1"/>
  <c r="L131" i="1" s="1"/>
  <c r="L135" i="1"/>
  <c r="I134" i="1"/>
  <c r="L134" i="1" s="1"/>
  <c r="I127" i="1"/>
  <c r="L127" i="1" s="1"/>
  <c r="I119" i="1"/>
  <c r="L119" i="1" s="1"/>
  <c r="L118" i="1"/>
  <c r="I116" i="1"/>
  <c r="L116" i="1" s="1"/>
  <c r="I111" i="1"/>
  <c r="L111" i="1" s="1"/>
  <c r="J110" i="1"/>
  <c r="L107" i="1"/>
  <c r="J105" i="1"/>
  <c r="M105" i="1" s="1"/>
  <c r="N105" i="1" s="1"/>
  <c r="J102" i="1"/>
  <c r="M102" i="1" s="1"/>
  <c r="N102" i="1" s="1"/>
  <c r="J86" i="1"/>
  <c r="M86" i="1" s="1"/>
  <c r="N86" i="1" s="1"/>
  <c r="I83" i="1"/>
  <c r="L83" i="1" s="1"/>
  <c r="I65" i="1"/>
  <c r="L65" i="1" s="1"/>
  <c r="J55" i="1"/>
  <c r="M55" i="1" s="1"/>
  <c r="N55" i="1" s="1"/>
  <c r="I42" i="1"/>
  <c r="L42" i="1" s="1"/>
  <c r="J36" i="1"/>
  <c r="J29" i="1"/>
  <c r="I18" i="1"/>
  <c r="L18" i="1" s="1"/>
  <c r="M10" i="1"/>
  <c r="N10" i="1" s="1"/>
  <c r="O10" i="1" s="1"/>
  <c r="J3" i="1"/>
  <c r="M3" i="1" s="1"/>
  <c r="N3" i="1" s="1"/>
  <c r="O3" i="1" s="1"/>
  <c r="J89" i="1"/>
  <c r="M89" i="1" s="1"/>
  <c r="N89" i="1" s="1"/>
  <c r="I88" i="1"/>
  <c r="L88" i="1" s="1"/>
  <c r="I76" i="1"/>
  <c r="L76" i="1" s="1"/>
  <c r="I63" i="1"/>
  <c r="L63" i="1" s="1"/>
  <c r="I61" i="1"/>
  <c r="L61" i="1" s="1"/>
  <c r="I59" i="1"/>
  <c r="L59" i="1" s="1"/>
  <c r="I49" i="1"/>
  <c r="L49" i="1" s="1"/>
  <c r="I30" i="1"/>
  <c r="L30" i="1" s="1"/>
  <c r="I14" i="1"/>
  <c r="L14" i="1" s="1"/>
  <c r="J11" i="1"/>
  <c r="M11" i="1" s="1"/>
  <c r="N11" i="1" s="1"/>
  <c r="O11" i="1" s="1"/>
  <c r="I9" i="1"/>
  <c r="L9" i="1" s="1"/>
  <c r="I8" i="1"/>
  <c r="L8" i="1" s="1"/>
  <c r="I87" i="1"/>
  <c r="L87" i="1" s="1"/>
  <c r="J73" i="1"/>
  <c r="M73" i="1" s="1"/>
  <c r="N73" i="1" s="1"/>
  <c r="J40" i="1"/>
  <c r="M40" i="1" s="1"/>
  <c r="N40" i="1" s="1"/>
  <c r="I34" i="1"/>
  <c r="L34" i="1" s="1"/>
  <c r="J24" i="1"/>
  <c r="M24" i="1" s="1"/>
  <c r="N24" i="1" s="1"/>
  <c r="O24" i="1" s="1"/>
  <c r="I93" i="1"/>
  <c r="L93" i="1" s="1"/>
  <c r="I78" i="1"/>
  <c r="L78" i="1" s="1"/>
  <c r="I74" i="1"/>
  <c r="L74" i="1" s="1"/>
  <c r="I71" i="1"/>
  <c r="L71" i="1" s="1"/>
  <c r="I66" i="1"/>
  <c r="L66" i="1" s="1"/>
  <c r="J57" i="1"/>
  <c r="I56" i="1"/>
  <c r="L56" i="1" s="1"/>
  <c r="I50" i="1"/>
  <c r="L50" i="1" s="1"/>
  <c r="I46" i="1"/>
  <c r="L46" i="1" s="1"/>
  <c r="J41" i="1"/>
  <c r="I23" i="1"/>
  <c r="L23" i="1" s="1"/>
  <c r="I22" i="1"/>
  <c r="L22" i="1" s="1"/>
  <c r="I70" i="1"/>
  <c r="L70" i="1" s="1"/>
  <c r="I54" i="1"/>
  <c r="L54" i="1" s="1"/>
  <c r="I35" i="1"/>
  <c r="L35" i="1" s="1"/>
  <c r="J13" i="1"/>
  <c r="M13" i="1" s="1"/>
  <c r="N13" i="1" s="1"/>
  <c r="O13" i="1" s="1"/>
  <c r="I21" i="1"/>
  <c r="L21" i="1" s="1"/>
  <c r="I7" i="1"/>
  <c r="L7" i="1" s="1"/>
  <c r="I33" i="1"/>
  <c r="L33" i="1" s="1"/>
  <c r="I19" i="1"/>
  <c r="L19" i="1" s="1"/>
  <c r="I17" i="1"/>
  <c r="L17" i="1" s="1"/>
  <c r="I5" i="1"/>
  <c r="L5" i="1" s="1"/>
  <c r="I45" i="1"/>
  <c r="L45" i="1" s="1"/>
  <c r="I13" i="1"/>
  <c r="L13" i="1" s="1"/>
  <c r="F27" i="8" l="1"/>
  <c r="E27" i="8"/>
  <c r="H28" i="8"/>
  <c r="D28" i="8"/>
  <c r="P8" i="1"/>
  <c r="P5" i="1"/>
  <c r="P9" i="1"/>
  <c r="P12" i="1"/>
  <c r="P6" i="1"/>
  <c r="P16" i="1"/>
  <c r="P7" i="1"/>
  <c r="P13" i="1"/>
  <c r="P14" i="1"/>
  <c r="P15" i="1"/>
  <c r="I2" i="1"/>
  <c r="L2" i="1" s="1"/>
  <c r="M2" i="1"/>
  <c r="O2" i="1" s="1"/>
  <c r="I86" i="1"/>
  <c r="L86" i="1" s="1"/>
  <c r="I29" i="1"/>
  <c r="L29" i="1" s="1"/>
  <c r="M29" i="1"/>
  <c r="N29" i="1" s="1"/>
  <c r="I41" i="1"/>
  <c r="L41" i="1" s="1"/>
  <c r="M41" i="1"/>
  <c r="N41" i="1" s="1"/>
  <c r="I57" i="1"/>
  <c r="L57" i="1" s="1"/>
  <c r="M57" i="1"/>
  <c r="N57" i="1" s="1"/>
  <c r="I36" i="1"/>
  <c r="L36" i="1" s="1"/>
  <c r="M36" i="1"/>
  <c r="N36" i="1" s="1"/>
  <c r="I110" i="1"/>
  <c r="L110" i="1" s="1"/>
  <c r="M110" i="1"/>
  <c r="N110" i="1" s="1"/>
  <c r="I58" i="1"/>
  <c r="L58" i="1" s="1"/>
  <c r="I11" i="1"/>
  <c r="L11" i="1" s="1"/>
  <c r="I24" i="1"/>
  <c r="L24" i="1" s="1"/>
  <c r="I40" i="1"/>
  <c r="L40" i="1" s="1"/>
  <c r="I102" i="1"/>
  <c r="L102" i="1" s="1"/>
  <c r="I3" i="1"/>
  <c r="L3" i="1" s="1"/>
  <c r="I105" i="1"/>
  <c r="L105" i="1" s="1"/>
  <c r="I73" i="1"/>
  <c r="L73" i="1" s="1"/>
  <c r="I55" i="1"/>
  <c r="L55" i="1" s="1"/>
  <c r="I89" i="1"/>
  <c r="L89" i="1" s="1"/>
  <c r="F28" i="8" l="1"/>
  <c r="E28" i="8"/>
  <c r="I27" i="8"/>
  <c r="I28" i="8" s="1"/>
  <c r="D29" i="8"/>
  <c r="P3" i="1"/>
  <c r="P11" i="1"/>
  <c r="P2" i="1"/>
  <c r="F29" i="8" l="1"/>
  <c r="E29" i="8"/>
  <c r="I29" i="8"/>
  <c r="H30" i="8"/>
  <c r="I30" i="8" s="1"/>
  <c r="D30" i="8"/>
  <c r="F30" i="8" l="1"/>
  <c r="E30" i="8"/>
  <c r="I31" i="8"/>
  <c r="D31" i="8"/>
  <c r="F31" i="8" l="1"/>
  <c r="E31" i="8"/>
  <c r="D32" i="8"/>
  <c r="F32" i="8" l="1"/>
  <c r="E32" i="8"/>
  <c r="D33" i="8"/>
  <c r="D34" i="8" l="1"/>
  <c r="E33" i="8"/>
  <c r="E34" i="8" l="1"/>
  <c r="D35" i="8"/>
  <c r="E35" i="8" l="1"/>
  <c r="D36" i="8"/>
  <c r="E36" i="8" l="1"/>
  <c r="D37" i="8"/>
  <c r="E37" i="8" l="1"/>
  <c r="D38" i="8"/>
  <c r="E38" i="8" l="1"/>
  <c r="D39" i="8"/>
  <c r="E39" i="8" l="1"/>
  <c r="D40" i="8"/>
  <c r="E40" i="8" l="1"/>
  <c r="D41" i="8"/>
  <c r="E41" i="8" l="1"/>
  <c r="D42" i="8"/>
  <c r="E42" i="8" l="1"/>
  <c r="D43" i="8"/>
  <c r="E43" i="8" l="1"/>
  <c r="D44" i="8"/>
  <c r="E44" i="8" l="1"/>
  <c r="D45" i="8"/>
  <c r="E45" i="8" l="1"/>
  <c r="D46" i="8"/>
  <c r="E46" i="8" l="1"/>
  <c r="D47" i="8"/>
  <c r="E47" i="8" l="1"/>
  <c r="D48" i="8"/>
  <c r="E48" i="8" l="1"/>
  <c r="D49" i="8"/>
  <c r="E49" i="8" l="1"/>
  <c r="D50" i="8"/>
  <c r="E50" i="8" l="1"/>
  <c r="D51" i="8"/>
  <c r="E51" i="8" l="1"/>
  <c r="D52" i="8"/>
  <c r="E52" i="8" l="1"/>
  <c r="D53" i="8"/>
  <c r="E53" i="8" l="1"/>
  <c r="D54" i="8"/>
  <c r="E54" i="8" l="1"/>
  <c r="D55" i="8"/>
  <c r="E55" i="8" l="1"/>
  <c r="D56" i="8"/>
  <c r="E56" i="8" l="1"/>
  <c r="D57" i="8"/>
  <c r="E57" i="8" l="1"/>
  <c r="D58" i="8"/>
  <c r="E58" i="8" l="1"/>
  <c r="D59" i="8"/>
  <c r="E59" i="8" l="1"/>
  <c r="D60" i="8"/>
  <c r="E60" i="8" l="1"/>
  <c r="D61" i="8"/>
  <c r="E61" i="8" l="1"/>
  <c r="D62" i="8"/>
  <c r="E62" i="8" l="1"/>
  <c r="D63" i="8"/>
  <c r="E63" i="8" l="1"/>
  <c r="D64" i="8"/>
  <c r="E64" i="8" l="1"/>
  <c r="D65" i="8"/>
  <c r="E65" i="8" l="1"/>
  <c r="D66" i="8"/>
  <c r="E66" i="8" l="1"/>
  <c r="D67" i="8"/>
  <c r="E67" i="8" l="1"/>
  <c r="D68" i="8"/>
  <c r="E68" i="8" l="1"/>
  <c r="D69" i="8"/>
  <c r="E69" i="8" l="1"/>
  <c r="D70" i="8"/>
  <c r="E70" i="8" l="1"/>
  <c r="D71" i="8"/>
  <c r="E71" i="8" l="1"/>
  <c r="D72" i="8"/>
  <c r="E72" i="8" l="1"/>
  <c r="D73" i="8"/>
  <c r="E73" i="8" l="1"/>
  <c r="D74" i="8"/>
  <c r="E74" i="8" l="1"/>
  <c r="D75" i="8"/>
  <c r="E75" i="8" l="1"/>
  <c r="D76" i="8"/>
  <c r="E76" i="8" l="1"/>
  <c r="D77" i="8"/>
  <c r="E77" i="8" l="1"/>
  <c r="D78" i="8"/>
  <c r="E78" i="8" l="1"/>
  <c r="D79" i="8"/>
  <c r="E79" i="8" l="1"/>
  <c r="D80" i="8"/>
  <c r="E80" i="8" l="1"/>
  <c r="D81" i="8"/>
  <c r="E81" i="8" l="1"/>
  <c r="D82" i="8"/>
  <c r="E82" i="8" l="1"/>
  <c r="D83" i="8"/>
  <c r="E83" i="8" l="1"/>
  <c r="D84" i="8"/>
  <c r="E84" i="8" l="1"/>
  <c r="D85" i="8"/>
  <c r="E85" i="8" l="1"/>
  <c r="D86" i="8"/>
  <c r="E86" i="8" l="1"/>
  <c r="D87" i="8"/>
  <c r="E87" i="8" l="1"/>
  <c r="D88" i="8"/>
  <c r="E88" i="8" l="1"/>
  <c r="D89" i="8"/>
  <c r="E89" i="8" l="1"/>
  <c r="D90" i="8"/>
  <c r="E90" i="8" l="1"/>
  <c r="D91" i="8"/>
  <c r="E91" i="8" l="1"/>
  <c r="D92" i="8"/>
  <c r="E92" i="8" l="1"/>
  <c r="D93" i="8"/>
  <c r="E93" i="8" l="1"/>
  <c r="D94" i="8"/>
  <c r="E94" i="8" l="1"/>
  <c r="D95" i="8"/>
  <c r="E95" i="8" l="1"/>
  <c r="D96" i="8"/>
  <c r="E96" i="8" l="1"/>
  <c r="D97" i="8"/>
  <c r="E97" i="8" l="1"/>
  <c r="D98" i="8"/>
  <c r="E98" i="8" l="1"/>
  <c r="D99" i="8"/>
  <c r="E99" i="8" l="1"/>
  <c r="D100" i="8"/>
  <c r="E100" i="8" l="1"/>
  <c r="D101" i="8"/>
  <c r="E101" i="8" l="1"/>
  <c r="D102" i="8"/>
  <c r="E102" i="8" l="1"/>
  <c r="D103" i="8"/>
  <c r="E103" i="8" l="1"/>
  <c r="D104" i="8"/>
  <c r="E104" i="8" l="1"/>
  <c r="D105" i="8"/>
  <c r="E105" i="8" l="1"/>
  <c r="D106" i="8"/>
  <c r="E106" i="8" l="1"/>
  <c r="D107" i="8"/>
  <c r="E107" i="8" l="1"/>
  <c r="D108" i="8"/>
  <c r="E108" i="8" l="1"/>
  <c r="D109" i="8"/>
  <c r="E109" i="8" l="1"/>
  <c r="D110" i="8"/>
  <c r="E110" i="8" l="1"/>
  <c r="D111" i="8"/>
  <c r="E111" i="8" l="1"/>
  <c r="D112" i="8"/>
  <c r="E112" i="8" l="1"/>
  <c r="D113" i="8"/>
  <c r="E113" i="8" l="1"/>
  <c r="D114" i="8"/>
  <c r="E114" i="8" l="1"/>
  <c r="D115" i="8"/>
  <c r="E115" i="8" l="1"/>
  <c r="D116" i="8"/>
  <c r="E116" i="8" l="1"/>
  <c r="D117" i="8"/>
  <c r="E117" i="8" l="1"/>
  <c r="D118" i="8"/>
  <c r="E118" i="8" l="1"/>
  <c r="D119" i="8"/>
  <c r="E119" i="8" l="1"/>
  <c r="D120" i="8"/>
  <c r="E120" i="8" l="1"/>
  <c r="D121" i="8"/>
  <c r="E121" i="8" l="1"/>
  <c r="D122" i="8"/>
  <c r="E122" i="8" l="1"/>
  <c r="D123" i="8"/>
  <c r="E123" i="8" l="1"/>
  <c r="D124" i="8"/>
  <c r="D125" i="8" l="1"/>
  <c r="E124" i="8"/>
  <c r="D126" i="8" l="1"/>
  <c r="E125" i="8"/>
  <c r="D127" i="8" l="1"/>
  <c r="E126" i="8"/>
  <c r="D128" i="8" l="1"/>
  <c r="E127" i="8"/>
  <c r="D129" i="8" l="1"/>
  <c r="E128" i="8"/>
  <c r="D130" i="8" l="1"/>
  <c r="E129" i="8"/>
  <c r="D131" i="8" l="1"/>
  <c r="E130" i="8"/>
  <c r="D132" i="8" l="1"/>
  <c r="E131" i="8"/>
  <c r="D133" i="8" l="1"/>
  <c r="E132" i="8"/>
  <c r="D134" i="8" l="1"/>
  <c r="E133" i="8"/>
  <c r="D135" i="8" l="1"/>
  <c r="E134" i="8"/>
  <c r="D136" i="8" l="1"/>
  <c r="E135" i="8"/>
  <c r="D137" i="8" l="1"/>
  <c r="E136" i="8"/>
  <c r="D138" i="8" l="1"/>
  <c r="E137" i="8"/>
  <c r="D139" i="8" l="1"/>
  <c r="E138" i="8"/>
  <c r="D140" i="8" l="1"/>
  <c r="E139" i="8"/>
  <c r="D141" i="8" l="1"/>
  <c r="E140" i="8"/>
  <c r="D142" i="8" l="1"/>
  <c r="E141" i="8"/>
  <c r="D143" i="8" l="1"/>
  <c r="E142" i="8"/>
  <c r="D144" i="8" l="1"/>
  <c r="E143" i="8"/>
  <c r="D145" i="8" l="1"/>
  <c r="E144" i="8"/>
  <c r="D146" i="8" l="1"/>
  <c r="E145" i="8"/>
  <c r="D147" i="8" l="1"/>
  <c r="E146" i="8"/>
  <c r="D148" i="8" l="1"/>
  <c r="E147" i="8"/>
  <c r="D149" i="8" l="1"/>
  <c r="E148" i="8"/>
  <c r="D150" i="8" l="1"/>
  <c r="E149" i="8"/>
  <c r="D151" i="8" l="1"/>
  <c r="E150" i="8"/>
  <c r="D152" i="8" l="1"/>
  <c r="E151" i="8"/>
  <c r="D153" i="8" l="1"/>
  <c r="E152" i="8"/>
  <c r="D154" i="8" l="1"/>
  <c r="E153" i="8"/>
  <c r="D155" i="8" l="1"/>
  <c r="E154" i="8"/>
  <c r="D156" i="8" l="1"/>
  <c r="E155" i="8"/>
  <c r="D157" i="8" l="1"/>
  <c r="E156" i="8"/>
  <c r="D158" i="8" l="1"/>
  <c r="E157" i="8"/>
  <c r="D159" i="8" l="1"/>
  <c r="E158" i="8"/>
  <c r="D160" i="8" l="1"/>
  <c r="E159" i="8"/>
  <c r="D161" i="8" l="1"/>
  <c r="E160" i="8"/>
  <c r="D162" i="8" l="1"/>
  <c r="E161" i="8"/>
  <c r="D163" i="8" l="1"/>
  <c r="E162" i="8"/>
  <c r="D164" i="8" l="1"/>
  <c r="E163" i="8"/>
  <c r="D165" i="8" l="1"/>
  <c r="E164" i="8"/>
  <c r="D166" i="8" l="1"/>
  <c r="E165" i="8"/>
  <c r="D167" i="8" l="1"/>
  <c r="E166" i="8"/>
  <c r="D168" i="8" l="1"/>
  <c r="E167" i="8"/>
  <c r="D169" i="8" l="1"/>
  <c r="E168" i="8"/>
  <c r="D170" i="8" l="1"/>
  <c r="E169" i="8"/>
  <c r="D171" i="8" l="1"/>
  <c r="E170" i="8"/>
  <c r="D172" i="8" l="1"/>
  <c r="E171" i="8"/>
  <c r="D173" i="8" l="1"/>
  <c r="E172" i="8"/>
  <c r="D174" i="8" l="1"/>
  <c r="E173" i="8"/>
  <c r="D175" i="8" l="1"/>
  <c r="E174" i="8"/>
  <c r="D176" i="8" l="1"/>
  <c r="E175" i="8"/>
  <c r="D177" i="8" l="1"/>
  <c r="E176" i="8"/>
  <c r="D178" i="8" l="1"/>
  <c r="E177" i="8"/>
  <c r="D179" i="8" l="1"/>
  <c r="E178" i="8"/>
  <c r="D180" i="8" l="1"/>
  <c r="E179" i="8"/>
  <c r="D181" i="8" l="1"/>
  <c r="E180" i="8"/>
  <c r="D182" i="8" l="1"/>
  <c r="E181" i="8"/>
  <c r="D183" i="8" l="1"/>
  <c r="E182" i="8"/>
  <c r="D184" i="8" l="1"/>
  <c r="E183" i="8"/>
  <c r="D185" i="8" l="1"/>
  <c r="E184" i="8"/>
  <c r="D186" i="8" l="1"/>
  <c r="E185" i="8"/>
  <c r="D187" i="8" l="1"/>
  <c r="E186" i="8"/>
  <c r="D188" i="8" l="1"/>
  <c r="E187" i="8"/>
  <c r="D189" i="8" l="1"/>
  <c r="E188" i="8"/>
  <c r="D190" i="8" l="1"/>
  <c r="E189" i="8"/>
  <c r="D191" i="8" l="1"/>
  <c r="E190" i="8"/>
  <c r="D192" i="8" l="1"/>
  <c r="E191" i="8"/>
  <c r="D193" i="8" l="1"/>
  <c r="E192" i="8"/>
  <c r="D194" i="8" l="1"/>
  <c r="E193" i="8"/>
  <c r="D195" i="8" l="1"/>
  <c r="E194" i="8"/>
  <c r="D196" i="8" l="1"/>
  <c r="E195" i="8"/>
  <c r="D197" i="8" l="1"/>
  <c r="E196" i="8"/>
  <c r="D198" i="8" l="1"/>
  <c r="E197" i="8"/>
  <c r="D199" i="8" l="1"/>
  <c r="E198" i="8"/>
  <c r="D200" i="8" l="1"/>
  <c r="E199" i="8"/>
  <c r="D201" i="8" l="1"/>
  <c r="E200" i="8"/>
  <c r="D202" i="8" l="1"/>
  <c r="E201" i="8"/>
  <c r="D203" i="8" l="1"/>
  <c r="E202" i="8"/>
  <c r="D204" i="8" l="1"/>
  <c r="E203" i="8"/>
  <c r="D205" i="8" l="1"/>
  <c r="E204" i="8"/>
  <c r="D206" i="8" l="1"/>
  <c r="E205" i="8"/>
  <c r="D207" i="8" l="1"/>
  <c r="E206" i="8"/>
  <c r="D208" i="8" l="1"/>
  <c r="E207" i="8"/>
  <c r="D209" i="8" l="1"/>
  <c r="E208" i="8"/>
  <c r="D210" i="8" l="1"/>
  <c r="E209" i="8"/>
  <c r="D211" i="8" l="1"/>
  <c r="E210" i="8"/>
  <c r="D212" i="8" l="1"/>
  <c r="E211" i="8"/>
  <c r="D213" i="8" l="1"/>
  <c r="E212" i="8"/>
  <c r="D214" i="8" l="1"/>
  <c r="E213" i="8"/>
  <c r="D215" i="8" l="1"/>
  <c r="E214" i="8"/>
  <c r="D216" i="8" l="1"/>
  <c r="E215" i="8"/>
  <c r="D217" i="8" l="1"/>
  <c r="E216" i="8"/>
  <c r="D218" i="8" l="1"/>
  <c r="E217" i="8"/>
  <c r="D219" i="8" l="1"/>
  <c r="E218" i="8"/>
  <c r="D220" i="8" l="1"/>
  <c r="E219" i="8"/>
  <c r="D221" i="8" l="1"/>
  <c r="E220" i="8"/>
  <c r="D222" i="8" l="1"/>
  <c r="E221" i="8"/>
  <c r="D223" i="8" l="1"/>
  <c r="E222" i="8"/>
  <c r="D224" i="8" l="1"/>
  <c r="E223" i="8"/>
  <c r="D225" i="8" l="1"/>
  <c r="E224" i="8"/>
  <c r="D226" i="8" l="1"/>
  <c r="E225" i="8"/>
  <c r="D227" i="8" l="1"/>
  <c r="E226" i="8"/>
  <c r="D228" i="8" l="1"/>
  <c r="E227" i="8"/>
  <c r="D229" i="8" l="1"/>
  <c r="E228" i="8"/>
  <c r="D230" i="8" l="1"/>
  <c r="E229" i="8"/>
  <c r="D231" i="8" l="1"/>
  <c r="E230" i="8"/>
  <c r="D232" i="8" l="1"/>
  <c r="E231" i="8"/>
  <c r="D233" i="8" l="1"/>
  <c r="E232" i="8"/>
  <c r="D234" i="8" l="1"/>
  <c r="E233" i="8"/>
  <c r="D235" i="8" l="1"/>
  <c r="E234" i="8"/>
  <c r="D236" i="8" l="1"/>
  <c r="E235" i="8"/>
  <c r="D237" i="8" l="1"/>
  <c r="E236" i="8"/>
  <c r="D238" i="8" l="1"/>
  <c r="E237" i="8"/>
  <c r="D239" i="8" l="1"/>
  <c r="E238" i="8"/>
  <c r="D240" i="8" l="1"/>
  <c r="E239" i="8"/>
  <c r="D241" i="8" l="1"/>
  <c r="E240" i="8"/>
  <c r="D242" i="8" l="1"/>
  <c r="E241" i="8"/>
  <c r="D243" i="8" l="1"/>
  <c r="E242" i="8"/>
  <c r="D244" i="8" l="1"/>
  <c r="E243" i="8"/>
  <c r="D245" i="8" l="1"/>
  <c r="E244" i="8"/>
  <c r="D246" i="8" l="1"/>
  <c r="E245" i="8"/>
  <c r="D247" i="8" l="1"/>
  <c r="E246" i="8"/>
  <c r="D248" i="8" l="1"/>
  <c r="E247" i="8"/>
  <c r="D249" i="8" l="1"/>
  <c r="E248" i="8"/>
  <c r="D250" i="8" l="1"/>
  <c r="E249" i="8"/>
  <c r="D251" i="8" l="1"/>
  <c r="E250" i="8"/>
  <c r="D252" i="8" l="1"/>
  <c r="E251" i="8"/>
  <c r="D253" i="8" l="1"/>
  <c r="E252" i="8"/>
  <c r="D254" i="8" l="1"/>
  <c r="E253" i="8"/>
  <c r="D255" i="8" l="1"/>
  <c r="E254" i="8"/>
  <c r="D256" i="8" l="1"/>
  <c r="E255" i="8"/>
  <c r="D257" i="8" l="1"/>
  <c r="E256" i="8"/>
  <c r="D258" i="8" l="1"/>
  <c r="E257" i="8"/>
  <c r="D259" i="8" l="1"/>
  <c r="D260" i="8" s="1"/>
  <c r="D261" i="8" s="1"/>
  <c r="D262" i="8" s="1"/>
  <c r="D263" i="8" s="1"/>
  <c r="D264" i="8" s="1"/>
  <c r="D265" i="8" s="1"/>
  <c r="D266" i="8" s="1"/>
  <c r="D267" i="8" s="1"/>
  <c r="D268" i="8" s="1"/>
  <c r="D269" i="8" s="1"/>
  <c r="D270" i="8" s="1"/>
  <c r="D271" i="8" s="1"/>
  <c r="D272" i="8" s="1"/>
  <c r="D273" i="8" s="1"/>
  <c r="D274" i="8" s="1"/>
  <c r="D275" i="8" s="1"/>
  <c r="D276" i="8" s="1"/>
  <c r="D277" i="8" s="1"/>
  <c r="D278" i="8" s="1"/>
  <c r="D279" i="8" s="1"/>
  <c r="D280" i="8" s="1"/>
  <c r="D281" i="8" s="1"/>
  <c r="D282" i="8" s="1"/>
  <c r="D283" i="8" s="1"/>
  <c r="D284" i="8" s="1"/>
  <c r="D285" i="8" s="1"/>
  <c r="D286" i="8" s="1"/>
  <c r="D287" i="8" s="1"/>
  <c r="D288" i="8" s="1"/>
  <c r="D289" i="8" s="1"/>
  <c r="D290" i="8" s="1"/>
  <c r="D291" i="8" s="1"/>
  <c r="D292" i="8" s="1"/>
  <c r="D293" i="8" s="1"/>
  <c r="D294" i="8" s="1"/>
  <c r="D295" i="8" s="1"/>
  <c r="D296" i="8" s="1"/>
  <c r="D297" i="8" s="1"/>
  <c r="D298" i="8" s="1"/>
  <c r="D299" i="8" s="1"/>
  <c r="D300" i="8" s="1"/>
  <c r="D301" i="8" s="1"/>
  <c r="D302" i="8" s="1"/>
  <c r="D303" i="8" s="1"/>
  <c r="D304" i="8" s="1"/>
  <c r="D305" i="8" s="1"/>
  <c r="D306" i="8" s="1"/>
  <c r="D307" i="8" s="1"/>
  <c r="D308" i="8" s="1"/>
  <c r="D309" i="8" s="1"/>
  <c r="D310" i="8" s="1"/>
  <c r="D311" i="8" s="1"/>
  <c r="D312" i="8" s="1"/>
  <c r="D313" i="8" s="1"/>
  <c r="D314" i="8" s="1"/>
  <c r="D315" i="8" s="1"/>
  <c r="D316" i="8" s="1"/>
  <c r="D317" i="8" s="1"/>
  <c r="D318" i="8" s="1"/>
  <c r="D319" i="8" s="1"/>
  <c r="D320" i="8" s="1"/>
  <c r="D321" i="8" s="1"/>
  <c r="D322" i="8" s="1"/>
  <c r="D323" i="8" s="1"/>
  <c r="D324" i="8" s="1"/>
  <c r="D325" i="8" s="1"/>
  <c r="D326" i="8" s="1"/>
  <c r="D327" i="8" s="1"/>
  <c r="D328" i="8" s="1"/>
  <c r="D329" i="8" s="1"/>
  <c r="D330" i="8" s="1"/>
  <c r="D331" i="8" s="1"/>
  <c r="D332" i="8" s="1"/>
  <c r="D333" i="8" s="1"/>
  <c r="D334" i="8" s="1"/>
  <c r="D335" i="8" s="1"/>
  <c r="D336" i="8" s="1"/>
  <c r="D337" i="8" s="1"/>
  <c r="D338" i="8" s="1"/>
  <c r="D339" i="8" s="1"/>
  <c r="D340" i="8" s="1"/>
  <c r="D341" i="8" s="1"/>
  <c r="D342" i="8" s="1"/>
  <c r="D343" i="8" s="1"/>
  <c r="D344" i="8" s="1"/>
  <c r="D345" i="8" s="1"/>
  <c r="D346" i="8" s="1"/>
  <c r="D347" i="8" s="1"/>
  <c r="D348" i="8" s="1"/>
  <c r="D349" i="8" s="1"/>
  <c r="D350" i="8" s="1"/>
  <c r="D351" i="8" s="1"/>
  <c r="D352" i="8" s="1"/>
  <c r="D353" i="8" s="1"/>
  <c r="D354" i="8" s="1"/>
  <c r="D355" i="8" s="1"/>
  <c r="D356" i="8" s="1"/>
  <c r="D357" i="8" s="1"/>
  <c r="D358" i="8" s="1"/>
  <c r="D359" i="8" s="1"/>
  <c r="D360" i="8" s="1"/>
  <c r="D361" i="8" s="1"/>
  <c r="D362" i="8" s="1"/>
  <c r="D363" i="8" s="1"/>
  <c r="D364" i="8" s="1"/>
  <c r="D365" i="8" s="1"/>
  <c r="D366" i="8" s="1"/>
  <c r="D367" i="8" s="1"/>
  <c r="D368" i="8" s="1"/>
  <c r="D369" i="8" s="1"/>
  <c r="D370" i="8" s="1"/>
  <c r="D371" i="8" s="1"/>
  <c r="D372" i="8" s="1"/>
  <c r="D373" i="8" s="1"/>
  <c r="D374" i="8" s="1"/>
  <c r="D375" i="8" s="1"/>
  <c r="D376" i="8" s="1"/>
  <c r="D377" i="8" s="1"/>
  <c r="D378" i="8" s="1"/>
  <c r="D379" i="8" s="1"/>
  <c r="D380" i="8" s="1"/>
  <c r="D381" i="8" s="1"/>
  <c r="D382" i="8" s="1"/>
  <c r="D383" i="8" s="1"/>
  <c r="D384" i="8" s="1"/>
  <c r="D385" i="8" s="1"/>
  <c r="D386" i="8" s="1"/>
  <c r="D387" i="8" s="1"/>
  <c r="D388" i="8" s="1"/>
  <c r="D389" i="8" s="1"/>
  <c r="D390" i="8" s="1"/>
  <c r="D391" i="8" s="1"/>
  <c r="D392" i="8" s="1"/>
  <c r="D393" i="8" s="1"/>
  <c r="D394" i="8" s="1"/>
  <c r="D395" i="8" s="1"/>
  <c r="D396" i="8" s="1"/>
  <c r="D397" i="8" s="1"/>
  <c r="D398" i="8" s="1"/>
  <c r="D399" i="8" s="1"/>
  <c r="D400" i="8" s="1"/>
  <c r="D401" i="8" s="1"/>
  <c r="D402" i="8" s="1"/>
  <c r="D403" i="8" s="1"/>
  <c r="D404" i="8" s="1"/>
  <c r="D405" i="8" s="1"/>
  <c r="D406" i="8" s="1"/>
  <c r="D407" i="8" s="1"/>
  <c r="D408" i="8" s="1"/>
  <c r="D409" i="8" s="1"/>
  <c r="D410" i="8" s="1"/>
  <c r="D411" i="8" s="1"/>
  <c r="D412" i="8" s="1"/>
  <c r="D413" i="8" s="1"/>
  <c r="D414" i="8" s="1"/>
  <c r="D415" i="8" s="1"/>
  <c r="D416" i="8" s="1"/>
  <c r="D417" i="8" s="1"/>
  <c r="D418" i="8" s="1"/>
  <c r="D419" i="8" s="1"/>
  <c r="D420" i="8" s="1"/>
  <c r="D421" i="8" s="1"/>
  <c r="D422" i="8" s="1"/>
  <c r="D423" i="8" s="1"/>
  <c r="D424" i="8" s="1"/>
  <c r="D425" i="8" s="1"/>
  <c r="D426" i="8" s="1"/>
  <c r="D427" i="8" s="1"/>
  <c r="D428" i="8" s="1"/>
  <c r="D429" i="8" s="1"/>
  <c r="D430" i="8" s="1"/>
  <c r="D431" i="8" s="1"/>
  <c r="D432" i="8" s="1"/>
  <c r="D433" i="8" s="1"/>
  <c r="D434" i="8" s="1"/>
  <c r="D435" i="8" s="1"/>
  <c r="D436" i="8" s="1"/>
  <c r="D437" i="8" s="1"/>
  <c r="D438" i="8" s="1"/>
  <c r="D439" i="8" s="1"/>
  <c r="D440" i="8" s="1"/>
  <c r="D441" i="8" s="1"/>
  <c r="D442" i="8" s="1"/>
  <c r="D443" i="8" s="1"/>
  <c r="D444" i="8" s="1"/>
  <c r="D445" i="8" s="1"/>
  <c r="D446" i="8" s="1"/>
  <c r="D447" i="8" s="1"/>
  <c r="D448" i="8" s="1"/>
  <c r="D449" i="8" s="1"/>
  <c r="D450" i="8" s="1"/>
  <c r="D451" i="8" s="1"/>
  <c r="D452" i="8" s="1"/>
  <c r="D453" i="8" s="1"/>
  <c r="D454" i="8" s="1"/>
  <c r="D455" i="8" s="1"/>
  <c r="D456" i="8" s="1"/>
  <c r="D457" i="8" s="1"/>
  <c r="D458" i="8" s="1"/>
  <c r="D459" i="8" s="1"/>
  <c r="D460" i="8" s="1"/>
  <c r="D461" i="8" s="1"/>
  <c r="D462" i="8" s="1"/>
  <c r="D463" i="8" s="1"/>
  <c r="D464" i="8" s="1"/>
  <c r="D465" i="8" s="1"/>
  <c r="D466" i="8" s="1"/>
  <c r="D467" i="8" s="1"/>
  <c r="D468" i="8" s="1"/>
  <c r="D469" i="8" s="1"/>
  <c r="D470" i="8" s="1"/>
  <c r="D471" i="8" s="1"/>
  <c r="D472" i="8" s="1"/>
  <c r="D473" i="8" s="1"/>
  <c r="D474" i="8" s="1"/>
  <c r="D475" i="8" s="1"/>
  <c r="D476" i="8" s="1"/>
  <c r="D477" i="8" s="1"/>
  <c r="D478" i="8" s="1"/>
  <c r="D479" i="8" s="1"/>
  <c r="D480" i="8" s="1"/>
  <c r="D481" i="8" s="1"/>
  <c r="D482" i="8" s="1"/>
  <c r="D483" i="8" s="1"/>
  <c r="D484" i="8" s="1"/>
  <c r="D485" i="8" s="1"/>
  <c r="D486" i="8" s="1"/>
  <c r="D487" i="8" s="1"/>
  <c r="D488" i="8" s="1"/>
  <c r="D489" i="8" s="1"/>
  <c r="D490" i="8" s="1"/>
  <c r="D491" i="8" s="1"/>
  <c r="D492" i="8" s="1"/>
  <c r="D493" i="8" s="1"/>
  <c r="D494" i="8" s="1"/>
  <c r="D495" i="8" s="1"/>
  <c r="D496" i="8" s="1"/>
  <c r="D497" i="8" s="1"/>
  <c r="D498" i="8" s="1"/>
  <c r="D499" i="8" s="1"/>
  <c r="D500" i="8" s="1"/>
  <c r="D501" i="8" s="1"/>
  <c r="D502" i="8" s="1"/>
  <c r="D503" i="8" s="1"/>
  <c r="D504" i="8" s="1"/>
  <c r="D505" i="8" s="1"/>
  <c r="D506" i="8" s="1"/>
  <c r="D507" i="8" s="1"/>
  <c r="D508" i="8" s="1"/>
  <c r="D509" i="8" s="1"/>
  <c r="D510" i="8" s="1"/>
  <c r="D511" i="8" s="1"/>
  <c r="D512" i="8" s="1"/>
  <c r="D513" i="8" s="1"/>
  <c r="D514" i="8" s="1"/>
  <c r="D515" i="8" s="1"/>
  <c r="D516" i="8" s="1"/>
  <c r="D517" i="8" s="1"/>
  <c r="D518" i="8" s="1"/>
  <c r="D519" i="8" s="1"/>
  <c r="D520" i="8" s="1"/>
  <c r="D521" i="8" s="1"/>
  <c r="D522" i="8" s="1"/>
  <c r="D523" i="8" s="1"/>
  <c r="D524" i="8" s="1"/>
  <c r="D525" i="8" s="1"/>
  <c r="D526" i="8" s="1"/>
  <c r="D527" i="8" s="1"/>
  <c r="D528" i="8" s="1"/>
  <c r="D529" i="8" s="1"/>
  <c r="D530" i="8" s="1"/>
  <c r="D531" i="8" s="1"/>
  <c r="D532" i="8" s="1"/>
  <c r="D533" i="8" s="1"/>
  <c r="D534" i="8" s="1"/>
  <c r="D535" i="8" s="1"/>
  <c r="D536" i="8" s="1"/>
  <c r="D537" i="8" s="1"/>
  <c r="D538" i="8" s="1"/>
  <c r="D539" i="8" s="1"/>
  <c r="D540" i="8" s="1"/>
  <c r="D541" i="8" s="1"/>
  <c r="D542" i="8" s="1"/>
  <c r="D543" i="8" s="1"/>
  <c r="D544" i="8" s="1"/>
  <c r="D545" i="8" s="1"/>
  <c r="D546" i="8" s="1"/>
  <c r="D547" i="8" s="1"/>
  <c r="D548" i="8" s="1"/>
  <c r="D549" i="8" s="1"/>
  <c r="D550" i="8" s="1"/>
  <c r="D551" i="8" s="1"/>
  <c r="D552" i="8" s="1"/>
  <c r="D553" i="8" s="1"/>
  <c r="D554" i="8" s="1"/>
  <c r="D555" i="8" s="1"/>
  <c r="D556" i="8" s="1"/>
  <c r="D557" i="8" s="1"/>
  <c r="D558" i="8" s="1"/>
  <c r="D559" i="8" s="1"/>
  <c r="D560" i="8" s="1"/>
  <c r="D561" i="8" s="1"/>
  <c r="D562" i="8" s="1"/>
  <c r="D563" i="8" s="1"/>
  <c r="D564" i="8" s="1"/>
  <c r="D565" i="8" s="1"/>
  <c r="D566" i="8" s="1"/>
  <c r="D567" i="8" s="1"/>
  <c r="D568" i="8" s="1"/>
  <c r="D569" i="8" s="1"/>
  <c r="D570" i="8" s="1"/>
  <c r="D571" i="8" s="1"/>
  <c r="D572" i="8" s="1"/>
  <c r="D573" i="8" s="1"/>
  <c r="D574" i="8" s="1"/>
  <c r="D575" i="8" s="1"/>
  <c r="D576" i="8" s="1"/>
  <c r="D577" i="8" s="1"/>
  <c r="D578" i="8" s="1"/>
  <c r="D579" i="8" s="1"/>
  <c r="D580" i="8" s="1"/>
  <c r="D581" i="8" s="1"/>
  <c r="D582" i="8" s="1"/>
  <c r="D583" i="8" s="1"/>
  <c r="D584" i="8" s="1"/>
  <c r="D585" i="8" s="1"/>
  <c r="D586" i="8" s="1"/>
  <c r="D587" i="8" s="1"/>
  <c r="D588" i="8" s="1"/>
  <c r="D589" i="8" s="1"/>
  <c r="D590" i="8" s="1"/>
  <c r="D591" i="8" s="1"/>
  <c r="D592" i="8" s="1"/>
  <c r="D593" i="8" s="1"/>
  <c r="D594" i="8" s="1"/>
  <c r="D595" i="8" s="1"/>
  <c r="D596" i="8" s="1"/>
  <c r="D597" i="8" s="1"/>
  <c r="D598" i="8" s="1"/>
  <c r="D599" i="8" s="1"/>
  <c r="D600" i="8" s="1"/>
  <c r="D601" i="8" s="1"/>
  <c r="D602" i="8" s="1"/>
  <c r="D603" i="8" s="1"/>
  <c r="D604" i="8" s="1"/>
  <c r="D605" i="8" s="1"/>
  <c r="D606" i="8" s="1"/>
  <c r="D607" i="8" s="1"/>
  <c r="D608" i="8" s="1"/>
  <c r="D609" i="8" s="1"/>
  <c r="D610" i="8" s="1"/>
  <c r="D611" i="8" s="1"/>
  <c r="D612" i="8" s="1"/>
  <c r="D613" i="8" s="1"/>
  <c r="D614" i="8" s="1"/>
  <c r="D615" i="8" s="1"/>
  <c r="D616" i="8" s="1"/>
  <c r="D617" i="8" s="1"/>
  <c r="D618" i="8" s="1"/>
  <c r="D619" i="8" s="1"/>
  <c r="D620" i="8" s="1"/>
  <c r="D621" i="8" s="1"/>
  <c r="D622" i="8" s="1"/>
  <c r="D623" i="8" s="1"/>
  <c r="D624" i="8" s="1"/>
  <c r="D625" i="8" s="1"/>
  <c r="D626" i="8" s="1"/>
  <c r="D627" i="8" s="1"/>
  <c r="D628" i="8" s="1"/>
  <c r="D629" i="8" s="1"/>
  <c r="D630" i="8" s="1"/>
  <c r="D631" i="8" s="1"/>
  <c r="D632" i="8" s="1"/>
  <c r="D633" i="8" s="1"/>
  <c r="D634" i="8" s="1"/>
  <c r="D635" i="8" s="1"/>
  <c r="D636" i="8" s="1"/>
  <c r="D637" i="8" s="1"/>
  <c r="D638" i="8" s="1"/>
  <c r="D639" i="8" s="1"/>
  <c r="D640" i="8" s="1"/>
  <c r="D641" i="8" s="1"/>
  <c r="D642" i="8" s="1"/>
  <c r="D643" i="8" s="1"/>
  <c r="D644" i="8" s="1"/>
  <c r="D645" i="8" s="1"/>
  <c r="D646" i="8" s="1"/>
  <c r="D647" i="8" s="1"/>
  <c r="D648" i="8" s="1"/>
  <c r="D649" i="8" s="1"/>
  <c r="D650" i="8" s="1"/>
  <c r="D651" i="8" s="1"/>
  <c r="D652" i="8" s="1"/>
  <c r="D653" i="8" s="1"/>
  <c r="D654" i="8" s="1"/>
  <c r="D655" i="8" s="1"/>
  <c r="D656" i="8" s="1"/>
  <c r="D657" i="8" s="1"/>
  <c r="D658" i="8" s="1"/>
  <c r="D659" i="8" s="1"/>
  <c r="D660" i="8" s="1"/>
  <c r="D661" i="8" s="1"/>
  <c r="D662" i="8" s="1"/>
  <c r="D663" i="8" s="1"/>
  <c r="D664" i="8" s="1"/>
  <c r="D665" i="8" s="1"/>
  <c r="D666" i="8" s="1"/>
  <c r="D667" i="8" s="1"/>
  <c r="D668" i="8" s="1"/>
  <c r="D669" i="8" s="1"/>
  <c r="D670" i="8" s="1"/>
  <c r="D671" i="8" s="1"/>
  <c r="D672" i="8" s="1"/>
  <c r="D673" i="8" s="1"/>
  <c r="D674" i="8" s="1"/>
  <c r="D675" i="8" s="1"/>
  <c r="D676" i="8" s="1"/>
  <c r="D677" i="8" s="1"/>
  <c r="D678" i="8" s="1"/>
  <c r="D679" i="8" s="1"/>
  <c r="D680" i="8" s="1"/>
  <c r="D681" i="8" s="1"/>
  <c r="D682" i="8" s="1"/>
  <c r="D683" i="8" s="1"/>
  <c r="D684" i="8" s="1"/>
  <c r="D685" i="8" s="1"/>
  <c r="D686" i="8" s="1"/>
  <c r="D687" i="8" s="1"/>
  <c r="D688" i="8" s="1"/>
  <c r="D689" i="8" s="1"/>
  <c r="D690" i="8" s="1"/>
  <c r="D691" i="8" s="1"/>
  <c r="D692" i="8" s="1"/>
  <c r="D693" i="8" s="1"/>
  <c r="D694" i="8" s="1"/>
  <c r="D695" i="8" s="1"/>
  <c r="D696" i="8" s="1"/>
  <c r="D697" i="8" s="1"/>
  <c r="D698" i="8" s="1"/>
  <c r="D699" i="8" s="1"/>
  <c r="D700" i="8" s="1"/>
  <c r="D701" i="8" s="1"/>
  <c r="D702" i="8" s="1"/>
  <c r="D703" i="8" s="1"/>
  <c r="D704" i="8" s="1"/>
  <c r="D705" i="8" s="1"/>
  <c r="D706" i="8" s="1"/>
  <c r="D707" i="8" s="1"/>
  <c r="D708" i="8" s="1"/>
  <c r="D709" i="8" s="1"/>
  <c r="D710" i="8" s="1"/>
  <c r="D711" i="8" s="1"/>
  <c r="D712" i="8" s="1"/>
  <c r="D713" i="8" s="1"/>
  <c r="D714" i="8" s="1"/>
  <c r="D715" i="8" s="1"/>
  <c r="D716" i="8" s="1"/>
  <c r="D717" i="8" s="1"/>
  <c r="D718" i="8" s="1"/>
  <c r="D719" i="8" s="1"/>
  <c r="D720" i="8" s="1"/>
  <c r="D721" i="8" s="1"/>
  <c r="D722" i="8" s="1"/>
  <c r="D723" i="8" s="1"/>
  <c r="D724" i="8" s="1"/>
  <c r="D725" i="8" s="1"/>
  <c r="D726" i="8" s="1"/>
  <c r="D727" i="8" s="1"/>
  <c r="D728" i="8" s="1"/>
  <c r="D729" i="8" s="1"/>
  <c r="D730" i="8" s="1"/>
  <c r="D731" i="8" s="1"/>
  <c r="D732" i="8" s="1"/>
  <c r="D733" i="8" s="1"/>
  <c r="D734" i="8" s="1"/>
  <c r="D735" i="8" s="1"/>
  <c r="D736" i="8" s="1"/>
  <c r="D737" i="8" s="1"/>
  <c r="D738" i="8" s="1"/>
  <c r="D739" i="8" s="1"/>
  <c r="D740" i="8" s="1"/>
  <c r="D741" i="8" s="1"/>
  <c r="D742" i="8" s="1"/>
  <c r="D743" i="8" s="1"/>
  <c r="D744" i="8" s="1"/>
  <c r="D745" i="8" s="1"/>
  <c r="D746" i="8" s="1"/>
  <c r="D747" i="8" s="1"/>
  <c r="D748" i="8" s="1"/>
  <c r="D749" i="8" s="1"/>
  <c r="D750" i="8" s="1"/>
  <c r="D751" i="8" s="1"/>
  <c r="D752" i="8" s="1"/>
  <c r="D753" i="8" s="1"/>
  <c r="D754" i="8" s="1"/>
  <c r="D755" i="8" s="1"/>
  <c r="D756" i="8" s="1"/>
  <c r="D757" i="8" s="1"/>
  <c r="D758" i="8" s="1"/>
  <c r="D759" i="8" s="1"/>
  <c r="D760" i="8" s="1"/>
  <c r="D761" i="8" s="1"/>
  <c r="D762" i="8" s="1"/>
  <c r="D763" i="8" s="1"/>
  <c r="D764" i="8" s="1"/>
  <c r="D765" i="8" s="1"/>
  <c r="D766" i="8" s="1"/>
  <c r="D767" i="8" s="1"/>
  <c r="D768" i="8" s="1"/>
  <c r="D769" i="8" s="1"/>
  <c r="D770" i="8" s="1"/>
  <c r="D771" i="8" s="1"/>
  <c r="D772" i="8" s="1"/>
  <c r="D773" i="8" s="1"/>
  <c r="D774" i="8" s="1"/>
  <c r="D775" i="8" s="1"/>
  <c r="D776" i="8" s="1"/>
  <c r="D777" i="8" s="1"/>
  <c r="D778" i="8" s="1"/>
  <c r="D779" i="8" s="1"/>
  <c r="D780" i="8" s="1"/>
  <c r="D781" i="8" s="1"/>
  <c r="D782" i="8" s="1"/>
  <c r="D783" i="8" s="1"/>
  <c r="D784" i="8" s="1"/>
  <c r="D785" i="8" s="1"/>
  <c r="D786" i="8" s="1"/>
  <c r="D787" i="8" s="1"/>
  <c r="D788" i="8" s="1"/>
  <c r="D789" i="8" s="1"/>
  <c r="D790" i="8" s="1"/>
  <c r="D791" i="8" s="1"/>
  <c r="D792" i="8" s="1"/>
  <c r="D793" i="8" s="1"/>
  <c r="D794" i="8" s="1"/>
  <c r="D795" i="8" s="1"/>
  <c r="D796" i="8" s="1"/>
  <c r="D797" i="8" s="1"/>
  <c r="D798" i="8" s="1"/>
  <c r="D799" i="8" s="1"/>
  <c r="D800" i="8" s="1"/>
  <c r="D801" i="8" s="1"/>
  <c r="D802" i="8" s="1"/>
  <c r="D803" i="8" s="1"/>
  <c r="D804" i="8" s="1"/>
  <c r="D805" i="8" s="1"/>
  <c r="D806" i="8" s="1"/>
  <c r="D807" i="8" s="1"/>
  <c r="D808" i="8" s="1"/>
  <c r="D809" i="8" s="1"/>
  <c r="D810" i="8" s="1"/>
  <c r="D811" i="8" s="1"/>
  <c r="D812" i="8" s="1"/>
  <c r="D813" i="8" s="1"/>
  <c r="D814" i="8" s="1"/>
  <c r="D815" i="8" s="1"/>
  <c r="D816" i="8" s="1"/>
  <c r="D817" i="8" s="1"/>
  <c r="D818" i="8" s="1"/>
  <c r="D819" i="8" s="1"/>
  <c r="D820" i="8" s="1"/>
  <c r="D821" i="8" s="1"/>
  <c r="D822" i="8" s="1"/>
  <c r="D823" i="8" s="1"/>
  <c r="D824" i="8" s="1"/>
  <c r="D825" i="8" s="1"/>
  <c r="D826" i="8" s="1"/>
  <c r="D827" i="8" s="1"/>
  <c r="D828" i="8" s="1"/>
  <c r="D829" i="8" s="1"/>
  <c r="D830" i="8" s="1"/>
  <c r="D831" i="8" s="1"/>
  <c r="E25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Салават Хафизов</author>
  </authors>
  <commentList>
    <comment ref="B16" authorId="0" shapeId="0" xr:uid="{7E324C72-0731-43DF-A161-962E999E0DFD}">
      <text>
        <r>
          <rPr>
            <b/>
            <sz val="9"/>
            <color indexed="81"/>
            <rFont val="Tahoma"/>
            <family val="2"/>
            <charset val="204"/>
          </rPr>
          <t>Салават Хафизов:</t>
        </r>
        <r>
          <rPr>
            <sz val="9"/>
            <color indexed="81"/>
            <rFont val="Tahoma"/>
            <family val="2"/>
            <charset val="204"/>
          </rPr>
          <t xml:space="preserve">
если нет понтона, то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Салават Хафизов</author>
  </authors>
  <commentList>
    <comment ref="B16" authorId="0" shapeId="0" xr:uid="{E6E5B64C-A426-461F-A998-358F825EF017}">
      <text>
        <r>
          <rPr>
            <b/>
            <sz val="9"/>
            <color indexed="81"/>
            <rFont val="Tahoma"/>
            <family val="2"/>
            <charset val="204"/>
          </rPr>
          <t>Салават Хафизов:</t>
        </r>
        <r>
          <rPr>
            <sz val="9"/>
            <color indexed="81"/>
            <rFont val="Tahoma"/>
            <family val="2"/>
            <charset val="204"/>
          </rPr>
          <t xml:space="preserve">
если нет понтона, то 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Салават Хафизов</author>
  </authors>
  <commentList>
    <comment ref="B16" authorId="0" shapeId="0" xr:uid="{FB54C707-4FA9-4FAA-A08F-C50BA9FDCDB7}">
      <text>
        <r>
          <rPr>
            <b/>
            <sz val="9"/>
            <color indexed="81"/>
            <rFont val="Tahoma"/>
            <family val="2"/>
            <charset val="204"/>
          </rPr>
          <t>Салават Хафизов:</t>
        </r>
        <r>
          <rPr>
            <sz val="9"/>
            <color indexed="81"/>
            <rFont val="Tahoma"/>
            <family val="2"/>
            <charset val="204"/>
          </rPr>
          <t xml:space="preserve">
если нет понтона, то 0</t>
        </r>
      </text>
    </comment>
  </commentList>
</comments>
</file>

<file path=xl/sharedStrings.xml><?xml version="1.0" encoding="utf-8"?>
<sst xmlns="http://schemas.openxmlformats.org/spreadsheetml/2006/main" count="273" uniqueCount="99">
  <si>
    <t>Площадь круга</t>
  </si>
  <si>
    <r>
      <t>S = π × R</t>
    </r>
    <r>
      <rPr>
        <sz val="11"/>
        <color theme="1"/>
        <rFont val="Calibri"/>
        <family val="2"/>
        <charset val="204"/>
      </rPr>
      <t>²</t>
    </r>
  </si>
  <si>
    <t>Длина окружности</t>
  </si>
  <si>
    <t>Р = 2πR</t>
  </si>
  <si>
    <t>Площадь квадрата</t>
  </si>
  <si>
    <t>S = a × b</t>
  </si>
  <si>
    <t>Объем цилиндра</t>
  </si>
  <si>
    <t>V=π·r²·h</t>
  </si>
  <si>
    <t>π</t>
  </si>
  <si>
    <t>Радиус</t>
  </si>
  <si>
    <t>Площадь дна</t>
  </si>
  <si>
    <t>Площадь стенок</t>
  </si>
  <si>
    <t>Высота</t>
  </si>
  <si>
    <t>Обьем емкости</t>
  </si>
  <si>
    <t>Площадь всех материалов</t>
  </si>
  <si>
    <t>p=ρ*h*g</t>
  </si>
  <si>
    <r>
      <t xml:space="preserve">Плотность нефти </t>
    </r>
    <r>
      <rPr>
        <b/>
        <sz val="11"/>
        <color theme="1"/>
        <rFont val="Calibri"/>
        <family val="2"/>
        <charset val="204"/>
        <scheme val="minor"/>
      </rPr>
      <t>ρ, кг/м3</t>
    </r>
  </si>
  <si>
    <t>Давление p, Па</t>
  </si>
  <si>
    <t>Температура в резервуаре (max), C</t>
  </si>
  <si>
    <t>Коэффициент безопасности</t>
  </si>
  <si>
    <t>Предел текучести S(t), мПа</t>
  </si>
  <si>
    <t>Коэффициент запаса n</t>
  </si>
  <si>
    <t>Толщина стенки, мм</t>
  </si>
  <si>
    <t>Давление, МПа</t>
  </si>
  <si>
    <t>Допустимое напряжение S(p), МПа</t>
  </si>
  <si>
    <t>Стоимость</t>
  </si>
  <si>
    <t>толщина нижней стенки</t>
  </si>
  <si>
    <t>вес 2,т</t>
  </si>
  <si>
    <t>Вес кубического милиметра стали, кг/мм3</t>
  </si>
  <si>
    <t>Расчетная толщина нижней стенки, м</t>
  </si>
  <si>
    <t>Объем всех материалов, м3</t>
  </si>
  <si>
    <t>Толщина дна, м</t>
  </si>
  <si>
    <t>Объем стенок, м3</t>
  </si>
  <si>
    <t>Объем материалов</t>
  </si>
  <si>
    <t>V=4/3*pi*(R_внешний^3-R_внутренний^3)</t>
  </si>
  <si>
    <t>Радиус от объема</t>
  </si>
  <si>
    <t>R=(3*V/(4*pi))^(1/3)</t>
  </si>
  <si>
    <t>V=2*pi*h*(R_внешний^2-R_внутренний^2)</t>
  </si>
  <si>
    <t>Объем емкости</t>
  </si>
  <si>
    <t>Расчет стенки на бесконечно малую единицу цилиндра убывающей толщины, м^2</t>
  </si>
  <si>
    <t>Расчетное сопротивление материала</t>
  </si>
  <si>
    <t>Толщина стенки, м</t>
  </si>
  <si>
    <t>Количество поясов</t>
  </si>
  <si>
    <t>Давление жидкости</t>
  </si>
  <si>
    <t>вес,т</t>
  </si>
  <si>
    <t>Толщина первый пояс</t>
  </si>
  <si>
    <t>Толщина второй пояс</t>
  </si>
  <si>
    <t>Толщина третий пояс</t>
  </si>
  <si>
    <t>Дано</t>
  </si>
  <si>
    <t>Плотность нефти, кг/м3</t>
  </si>
  <si>
    <t>Предел текучести стали S(t), МПа</t>
  </si>
  <si>
    <t>Ширина листа h(л), м</t>
  </si>
  <si>
    <t>Длина листа l, м</t>
  </si>
  <si>
    <t>Пояс</t>
  </si>
  <si>
    <t>Высота, м</t>
  </si>
  <si>
    <t>Радиус, м</t>
  </si>
  <si>
    <t>Кол-во поясов</t>
  </si>
  <si>
    <t>Коэффициент заполнения</t>
  </si>
  <si>
    <t>Расчеты</t>
  </si>
  <si>
    <t>Константы:</t>
  </si>
  <si>
    <t>Объем</t>
  </si>
  <si>
    <t>Коэффициент надежности по металлу y(м)</t>
  </si>
  <si>
    <t>Коэффициент надежности по назначению y(н)</t>
  </si>
  <si>
    <t>Расчетное сопротивление материала R(y)</t>
  </si>
  <si>
    <t>для нижнего пояса</t>
  </si>
  <si>
    <t>для остальных поясов</t>
  </si>
  <si>
    <r>
      <rPr>
        <u/>
        <sz val="11"/>
        <color theme="1"/>
        <rFont val="Calibri"/>
        <family val="2"/>
        <charset val="204"/>
        <scheme val="minor"/>
      </rPr>
      <t>Коэффициент условий работы</t>
    </r>
    <r>
      <rPr>
        <sz val="11"/>
        <color theme="1"/>
        <rFont val="Calibri"/>
        <family val="2"/>
        <charset val="204"/>
        <scheme val="minor"/>
      </rPr>
      <t>:</t>
    </r>
  </si>
  <si>
    <t>Коэффициент перегрузки, n1</t>
  </si>
  <si>
    <t>Коэффициент перегрузки, n2</t>
  </si>
  <si>
    <t>Понтон</t>
  </si>
  <si>
    <t>-</t>
  </si>
  <si>
    <t>Избыточное давление p(и), Па</t>
  </si>
  <si>
    <t>Ускорение свободного падения g, м/с2</t>
  </si>
  <si>
    <t>Минимальная толщина t(min), м</t>
  </si>
  <si>
    <t>Округленная толщина,м</t>
  </si>
  <si>
    <t>Принятая толщина</t>
  </si>
  <si>
    <t>Толщина, мм</t>
  </si>
  <si>
    <t>Вес, кг</t>
  </si>
  <si>
    <t>Цена</t>
  </si>
  <si>
    <t>Стенки</t>
  </si>
  <si>
    <t>Крыша</t>
  </si>
  <si>
    <t>Остальное</t>
  </si>
  <si>
    <t>Цена металла, т/руб</t>
  </si>
  <si>
    <t>Толщина нижнего пояса, м</t>
  </si>
  <si>
    <t>Толщина верхнего пояса, м</t>
  </si>
  <si>
    <t>Площадь стенок, м2</t>
  </si>
  <si>
    <t>Общая стоимость</t>
  </si>
  <si>
    <t>ВесСталиДна, кг</t>
  </si>
  <si>
    <t>ВесСталиСтенки, кг</t>
  </si>
  <si>
    <t>ВесСталиКрыша, кг</t>
  </si>
  <si>
    <t>Общий вес стали, кг</t>
  </si>
  <si>
    <t>Общая площадь материалов, м2</t>
  </si>
  <si>
    <t>Ширина, м</t>
  </si>
  <si>
    <t>Длина, м</t>
  </si>
  <si>
    <t>Площадь дна, м2</t>
  </si>
  <si>
    <t>Общий вес стали,  кг</t>
  </si>
  <si>
    <t>Общая стоимость, руб</t>
  </si>
  <si>
    <t>Стенка вес</t>
  </si>
  <si>
    <t>Крыша вес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</si>
</sst>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0.0"/>
    <numFmt numFmtId="165" formatCode="0.000"/>
    <numFmt numFmtId="166" formatCode="#,##0.00\ &quot;₽&quot;"/>
    <numFmt numFmtId="167" formatCode="0.00000"/>
    <numFmt numFmtId="168" formatCode="0.000000"/>
  </numFmts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sz val="8"/>
      <color rgb="FF111111"/>
      <name val="Arial"/>
      <family val="2"/>
      <charset val="204"/>
    </font>
    <font>
      <sz val="12"/>
      <color rgb="FF040C28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2" fontId="0" fillId="0" borderId="0" xfId="0" applyNumberFormat="1"/>
    <xf numFmtId="164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/>
    <xf numFmtId="2" fontId="0" fillId="2" borderId="0" xfId="0" applyNumberFormat="1" applyFill="1"/>
    <xf numFmtId="164" fontId="0" fillId="2" borderId="0" xfId="0" applyNumberFormat="1" applyFill="1"/>
    <xf numFmtId="165" fontId="0" fillId="0" borderId="0" xfId="0" applyNumberFormat="1"/>
    <xf numFmtId="166" fontId="0" fillId="0" borderId="0" xfId="0" applyNumberFormat="1"/>
    <xf numFmtId="44" fontId="0" fillId="0" borderId="0" xfId="1" applyFont="1"/>
    <xf numFmtId="167" fontId="0" fillId="0" borderId="0" xfId="0" applyNumberFormat="1"/>
    <xf numFmtId="44" fontId="0" fillId="2" borderId="0" xfId="1" applyFont="1" applyFill="1"/>
    <xf numFmtId="0" fontId="1" fillId="0" borderId="0" xfId="0" applyFont="1"/>
    <xf numFmtId="0" fontId="0" fillId="3" borderId="0" xfId="0" applyFill="1"/>
    <xf numFmtId="1" fontId="0" fillId="0" borderId="0" xfId="0" applyNumberFormat="1"/>
    <xf numFmtId="0" fontId="0" fillId="0" borderId="0" xfId="0" applyAlignment="1">
      <alignment wrapText="1"/>
    </xf>
    <xf numFmtId="168" fontId="0" fillId="0" borderId="0" xfId="0" applyNumberFormat="1"/>
    <xf numFmtId="44" fontId="0" fillId="0" borderId="0" xfId="0" applyNumberFormat="1"/>
    <xf numFmtId="0" fontId="0" fillId="2" borderId="0" xfId="0" applyFill="1" applyAlignment="1">
      <alignment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1" xfId="0" applyBorder="1"/>
    <xf numFmtId="165" fontId="0" fillId="0" borderId="1" xfId="0" applyNumberFormat="1" applyBorder="1"/>
    <xf numFmtId="44" fontId="0" fillId="0" borderId="1" xfId="1" applyFont="1" applyBorder="1"/>
    <xf numFmtId="0" fontId="0" fillId="0" borderId="7" xfId="0" applyBorder="1"/>
    <xf numFmtId="165" fontId="0" fillId="0" borderId="7" xfId="0" applyNumberFormat="1" applyBorder="1"/>
    <xf numFmtId="44" fontId="0" fillId="0" borderId="7" xfId="1" applyFont="1" applyBorder="1"/>
    <xf numFmtId="0" fontId="0" fillId="0" borderId="1" xfId="0" applyFill="1" applyBorder="1"/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338243</xdr:rowOff>
    </xdr:from>
    <xdr:to>
      <xdr:col>1</xdr:col>
      <xdr:colOff>353787</xdr:colOff>
      <xdr:row>4</xdr:row>
      <xdr:rowOff>170503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91CA5C6-CF30-4DE3-A393-3C9780C60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38243"/>
          <a:ext cx="963387" cy="7695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338243</xdr:rowOff>
    </xdr:from>
    <xdr:to>
      <xdr:col>1</xdr:col>
      <xdr:colOff>353787</xdr:colOff>
      <xdr:row>5</xdr:row>
      <xdr:rowOff>40963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7869F947-290B-4C1E-A85A-C2CF3775B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38243"/>
          <a:ext cx="963387" cy="769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338243</xdr:rowOff>
    </xdr:from>
    <xdr:to>
      <xdr:col>1</xdr:col>
      <xdr:colOff>353787</xdr:colOff>
      <xdr:row>5</xdr:row>
      <xdr:rowOff>94303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91D7DBF0-2CD1-4FD6-A4B5-2B088CB34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38243"/>
          <a:ext cx="963387" cy="8228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S138"/>
  <sheetViews>
    <sheetView topLeftCell="F1" workbookViewId="0">
      <selection activeCell="R13" sqref="R13"/>
    </sheetView>
  </sheetViews>
  <sheetFormatPr defaultRowHeight="14.4" x14ac:dyDescent="0.3"/>
  <cols>
    <col min="2" max="2" width="31.88671875" customWidth="1"/>
    <col min="3" max="3" width="12" bestFit="1" customWidth="1"/>
    <col min="7" max="7" width="9.6640625" customWidth="1"/>
    <col min="8" max="8" width="12.33203125" customWidth="1"/>
    <col min="9" max="9" width="10.44140625" customWidth="1"/>
    <col min="12" max="12" width="13.6640625" customWidth="1"/>
    <col min="13" max="13" width="18" customWidth="1"/>
    <col min="14" max="17" width="24.44140625" customWidth="1"/>
  </cols>
  <sheetData>
    <row r="1" spans="2:19" ht="30.6" customHeight="1" x14ac:dyDescent="0.3">
      <c r="E1" s="5" t="s">
        <v>8</v>
      </c>
      <c r="F1" s="5" t="s">
        <v>9</v>
      </c>
      <c r="G1" s="5" t="s">
        <v>10</v>
      </c>
      <c r="H1" s="5" t="s">
        <v>2</v>
      </c>
      <c r="I1" s="5" t="s">
        <v>11</v>
      </c>
      <c r="J1" s="5" t="s">
        <v>12</v>
      </c>
      <c r="K1" s="5" t="s">
        <v>13</v>
      </c>
      <c r="L1" s="5" t="s">
        <v>14</v>
      </c>
      <c r="M1" s="6" t="s">
        <v>23</v>
      </c>
      <c r="N1" s="11" t="s">
        <v>22</v>
      </c>
      <c r="O1" s="12" t="s">
        <v>26</v>
      </c>
      <c r="P1" s="12" t="s">
        <v>27</v>
      </c>
      <c r="Q1" s="12" t="s">
        <v>25</v>
      </c>
    </row>
    <row r="2" spans="2:19" x14ac:dyDescent="0.3">
      <c r="B2" s="1" t="s">
        <v>0</v>
      </c>
      <c r="C2" s="1" t="s">
        <v>1</v>
      </c>
      <c r="D2" s="1"/>
      <c r="E2" s="1">
        <v>3.14</v>
      </c>
      <c r="F2" s="1">
        <v>1</v>
      </c>
      <c r="G2" s="1">
        <f>E2*F2^2</f>
        <v>3.14</v>
      </c>
      <c r="H2" s="1">
        <f>2*E2*F2</f>
        <v>6.28</v>
      </c>
      <c r="I2" s="1">
        <f t="shared" ref="I2:I65" si="0">H2*J2</f>
        <v>10000</v>
      </c>
      <c r="J2" s="1">
        <f>K2/G2</f>
        <v>1592.3566878980891</v>
      </c>
      <c r="K2" s="1">
        <v>5000</v>
      </c>
      <c r="L2" s="3">
        <f>(G2*2)+I2</f>
        <v>10006.280000000001</v>
      </c>
      <c r="M2" s="9">
        <f>$C$8*J2*0.85*9.81*10^-6</f>
        <v>11.286186305732482</v>
      </c>
      <c r="N2" s="10">
        <f>M2*F2*10^3/(2*$C$16)</f>
        <v>24.18468494085532</v>
      </c>
      <c r="O2" s="10">
        <f>N2*2</f>
        <v>48.369369881710639</v>
      </c>
      <c r="P2" s="10">
        <f>L2*7*10^-3</f>
        <v>70.043960000000013</v>
      </c>
      <c r="Q2" s="10">
        <f>P2*70000</f>
        <v>4903077.2000000011</v>
      </c>
    </row>
    <row r="3" spans="2:19" x14ac:dyDescent="0.3">
      <c r="B3" s="1" t="s">
        <v>2</v>
      </c>
      <c r="C3" s="1" t="s">
        <v>3</v>
      </c>
      <c r="D3" s="1"/>
      <c r="E3" s="1">
        <v>3.14</v>
      </c>
      <c r="F3" s="1">
        <v>2</v>
      </c>
      <c r="G3" s="1">
        <f>E3*F3^2</f>
        <v>12.56</v>
      </c>
      <c r="H3" s="1">
        <f t="shared" ref="H3:H66" si="1">2*E3*F3</f>
        <v>12.56</v>
      </c>
      <c r="I3" s="1">
        <f t="shared" si="0"/>
        <v>5000</v>
      </c>
      <c r="J3" s="1">
        <f t="shared" ref="J3:J65" si="2">K3/G3</f>
        <v>398.08917197452229</v>
      </c>
      <c r="K3" s="1">
        <v>5000</v>
      </c>
      <c r="L3" s="3">
        <f t="shared" ref="L3:L66" si="3">(G3*2)+I3</f>
        <v>5025.12</v>
      </c>
      <c r="M3" s="9">
        <f t="shared" ref="M3:M66" si="4">$C$8*J3*0.85*9.81*10^-6</f>
        <v>2.8215465764331205</v>
      </c>
      <c r="N3" s="10">
        <f t="shared" ref="N3:N66" si="5">M3*F3*10^3/(2*$C$16)</f>
        <v>12.09234247042766</v>
      </c>
      <c r="O3" s="10">
        <f t="shared" ref="O3:O25" si="6">N3*2</f>
        <v>24.18468494085532</v>
      </c>
      <c r="P3" s="10">
        <f t="shared" ref="P3:P16" si="7">L3*7*10^-3</f>
        <v>35.175839999999994</v>
      </c>
      <c r="Q3" s="10">
        <f t="shared" ref="Q3:Q16" si="8">P3*53000</f>
        <v>1864319.5199999998</v>
      </c>
      <c r="S3">
        <f>((3*5000)/(4*PI()))^(1/3)</f>
        <v>10.60784417947055</v>
      </c>
    </row>
    <row r="4" spans="2:19" x14ac:dyDescent="0.3">
      <c r="B4" s="1" t="s">
        <v>4</v>
      </c>
      <c r="C4" s="1" t="s">
        <v>5</v>
      </c>
      <c r="D4" s="1"/>
      <c r="E4" s="1">
        <v>3.14</v>
      </c>
      <c r="F4" s="1">
        <v>3</v>
      </c>
      <c r="G4" s="1">
        <f t="shared" ref="G4:G66" si="9">E4*F4^2</f>
        <v>28.26</v>
      </c>
      <c r="H4" s="1">
        <f t="shared" si="1"/>
        <v>18.84</v>
      </c>
      <c r="I4" s="1">
        <f>H4*J4</f>
        <v>3333.3333333333335</v>
      </c>
      <c r="J4" s="1">
        <f>K4/G4</f>
        <v>176.92852087756546</v>
      </c>
      <c r="K4" s="1">
        <v>5000</v>
      </c>
      <c r="L4" s="3">
        <f>(G4*2)+I4</f>
        <v>3389.8533333333335</v>
      </c>
      <c r="M4" s="9">
        <f t="shared" si="4"/>
        <v>1.2540207006369426</v>
      </c>
      <c r="N4" s="10">
        <f t="shared" si="5"/>
        <v>8.0615616469517732</v>
      </c>
      <c r="O4" s="10">
        <f t="shared" si="6"/>
        <v>16.123123293903546</v>
      </c>
      <c r="P4" s="10">
        <f t="shared" si="7"/>
        <v>23.728973333333336</v>
      </c>
      <c r="Q4" s="10">
        <f t="shared" si="8"/>
        <v>1257635.5866666669</v>
      </c>
      <c r="S4">
        <f>1.98*10*10^3/(2*233.3)</f>
        <v>42.434633519074154</v>
      </c>
    </row>
    <row r="5" spans="2:19" x14ac:dyDescent="0.3">
      <c r="B5" s="1" t="s">
        <v>6</v>
      </c>
      <c r="C5" s="2" t="s">
        <v>7</v>
      </c>
      <c r="D5" s="1"/>
      <c r="E5" s="1">
        <v>3.14</v>
      </c>
      <c r="F5" s="1">
        <v>4</v>
      </c>
      <c r="G5" s="1">
        <f t="shared" si="9"/>
        <v>50.24</v>
      </c>
      <c r="H5" s="1">
        <f t="shared" si="1"/>
        <v>25.12</v>
      </c>
      <c r="I5" s="1">
        <f t="shared" si="0"/>
        <v>2500</v>
      </c>
      <c r="J5" s="1">
        <f t="shared" si="2"/>
        <v>99.522292993630572</v>
      </c>
      <c r="K5" s="1">
        <v>5000</v>
      </c>
      <c r="L5" s="3">
        <f t="shared" si="3"/>
        <v>2600.48</v>
      </c>
      <c r="M5" s="9">
        <f t="shared" si="4"/>
        <v>0.70538664410828011</v>
      </c>
      <c r="N5" s="10">
        <f t="shared" si="5"/>
        <v>6.0461712352138299</v>
      </c>
      <c r="O5" s="10">
        <f t="shared" si="6"/>
        <v>12.09234247042766</v>
      </c>
      <c r="P5" s="10">
        <f t="shared" si="7"/>
        <v>18.20336</v>
      </c>
      <c r="Q5" s="10">
        <f t="shared" si="8"/>
        <v>964778.08</v>
      </c>
    </row>
    <row r="6" spans="2:19" x14ac:dyDescent="0.3">
      <c r="E6" s="1">
        <v>3.14</v>
      </c>
      <c r="F6" s="1">
        <v>5</v>
      </c>
      <c r="G6" s="1">
        <f t="shared" si="9"/>
        <v>78.5</v>
      </c>
      <c r="H6" s="1">
        <f t="shared" si="1"/>
        <v>31.400000000000002</v>
      </c>
      <c r="I6" s="1">
        <f t="shared" si="0"/>
        <v>2000</v>
      </c>
      <c r="J6" s="1">
        <f t="shared" si="2"/>
        <v>63.694267515923563</v>
      </c>
      <c r="K6" s="1">
        <v>5000</v>
      </c>
      <c r="L6" s="3">
        <f t="shared" si="3"/>
        <v>2157</v>
      </c>
      <c r="M6" s="9">
        <f t="shared" si="4"/>
        <v>0.45144745222929933</v>
      </c>
      <c r="N6" s="10">
        <f t="shared" si="5"/>
        <v>4.8369369881710638</v>
      </c>
      <c r="O6" s="10">
        <f t="shared" si="6"/>
        <v>9.6738739763421275</v>
      </c>
      <c r="P6" s="10">
        <f t="shared" si="7"/>
        <v>15.099</v>
      </c>
      <c r="Q6" s="10">
        <f t="shared" si="8"/>
        <v>800247</v>
      </c>
      <c r="S6">
        <f>PI()*(F2*2)^2*J2*7800/4000/1000</f>
        <v>39.019781366242654</v>
      </c>
    </row>
    <row r="7" spans="2:19" x14ac:dyDescent="0.3">
      <c r="B7" s="1" t="s">
        <v>17</v>
      </c>
      <c r="C7" s="1" t="s">
        <v>15</v>
      </c>
      <c r="E7" s="1">
        <v>3.14</v>
      </c>
      <c r="F7" s="1">
        <v>6</v>
      </c>
      <c r="G7" s="1">
        <f t="shared" si="9"/>
        <v>113.04</v>
      </c>
      <c r="H7" s="1">
        <f t="shared" si="1"/>
        <v>37.68</v>
      </c>
      <c r="I7" s="1">
        <f t="shared" si="0"/>
        <v>1666.6666666666667</v>
      </c>
      <c r="J7" s="1">
        <f t="shared" si="2"/>
        <v>44.232130219391365</v>
      </c>
      <c r="K7" s="1">
        <v>5000</v>
      </c>
      <c r="L7" s="3">
        <f t="shared" si="3"/>
        <v>1892.7466666666667</v>
      </c>
      <c r="M7" s="9">
        <f t="shared" si="4"/>
        <v>0.31350517515923565</v>
      </c>
      <c r="N7" s="10">
        <f t="shared" si="5"/>
        <v>4.0307808234758866</v>
      </c>
      <c r="O7" s="10">
        <f t="shared" si="6"/>
        <v>8.0615616469517732</v>
      </c>
      <c r="P7" s="10">
        <f t="shared" si="7"/>
        <v>13.249226666666667</v>
      </c>
      <c r="Q7" s="10">
        <f t="shared" si="8"/>
        <v>702209.01333333331</v>
      </c>
    </row>
    <row r="8" spans="2:19" x14ac:dyDescent="0.3">
      <c r="B8" s="1" t="s">
        <v>16</v>
      </c>
      <c r="C8">
        <v>850</v>
      </c>
      <c r="E8" s="1">
        <v>3.14</v>
      </c>
      <c r="F8" s="1">
        <v>7</v>
      </c>
      <c r="G8" s="1">
        <f t="shared" si="9"/>
        <v>153.86000000000001</v>
      </c>
      <c r="H8" s="1">
        <f t="shared" si="1"/>
        <v>43.96</v>
      </c>
      <c r="I8" s="1">
        <f t="shared" si="0"/>
        <v>1428.5714285714284</v>
      </c>
      <c r="J8" s="1">
        <f t="shared" si="2"/>
        <v>32.497075263226307</v>
      </c>
      <c r="K8" s="1">
        <v>5000</v>
      </c>
      <c r="L8" s="3">
        <f t="shared" si="3"/>
        <v>1736.2914285714285</v>
      </c>
      <c r="M8" s="9">
        <f t="shared" si="4"/>
        <v>0.23033033277005066</v>
      </c>
      <c r="N8" s="10">
        <f t="shared" si="5"/>
        <v>3.45495499155076</v>
      </c>
      <c r="O8" s="10">
        <f t="shared" si="6"/>
        <v>6.90990998310152</v>
      </c>
      <c r="P8" s="10">
        <f t="shared" si="7"/>
        <v>12.15404</v>
      </c>
      <c r="Q8" s="10">
        <f t="shared" si="8"/>
        <v>644164.12</v>
      </c>
    </row>
    <row r="9" spans="2:19" x14ac:dyDescent="0.3">
      <c r="B9" s="1" t="s">
        <v>18</v>
      </c>
      <c r="C9">
        <v>100</v>
      </c>
      <c r="E9" s="1">
        <v>3.14</v>
      </c>
      <c r="F9" s="1">
        <v>8</v>
      </c>
      <c r="G9" s="1">
        <f t="shared" si="9"/>
        <v>200.96</v>
      </c>
      <c r="H9" s="1">
        <f t="shared" si="1"/>
        <v>50.24</v>
      </c>
      <c r="I9" s="1">
        <f t="shared" si="0"/>
        <v>1250</v>
      </c>
      <c r="J9" s="1">
        <f t="shared" si="2"/>
        <v>24.880573248407643</v>
      </c>
      <c r="K9" s="1">
        <v>5000</v>
      </c>
      <c r="L9" s="3">
        <f t="shared" si="3"/>
        <v>1651.92</v>
      </c>
      <c r="M9" s="9">
        <f t="shared" si="4"/>
        <v>0.17634666102707003</v>
      </c>
      <c r="N9" s="10">
        <f t="shared" si="5"/>
        <v>3.023085617606915</v>
      </c>
      <c r="O9" s="10">
        <f t="shared" si="6"/>
        <v>6.0461712352138299</v>
      </c>
      <c r="P9" s="10">
        <f t="shared" si="7"/>
        <v>11.56344</v>
      </c>
      <c r="Q9" s="10">
        <f t="shared" si="8"/>
        <v>612862.31999999995</v>
      </c>
    </row>
    <row r="10" spans="2:19" s="14" customFormat="1" x14ac:dyDescent="0.3">
      <c r="B10" s="13" t="s">
        <v>19</v>
      </c>
      <c r="C10" s="14">
        <v>2</v>
      </c>
      <c r="E10" s="13">
        <v>3.14</v>
      </c>
      <c r="F10" s="13">
        <v>9</v>
      </c>
      <c r="G10" s="13">
        <f>E10*F10^2</f>
        <v>254.34</v>
      </c>
      <c r="H10" s="13">
        <f>2*E10*F10</f>
        <v>56.52</v>
      </c>
      <c r="I10" s="13">
        <f>H10*J10</f>
        <v>1111.1111111111111</v>
      </c>
      <c r="J10" s="13">
        <f>K10/G10</f>
        <v>19.658724541951717</v>
      </c>
      <c r="K10" s="13">
        <v>5000</v>
      </c>
      <c r="L10" s="4">
        <f>(G10*2)+I10</f>
        <v>1619.7911111111111</v>
      </c>
      <c r="M10" s="15">
        <f t="shared" si="4"/>
        <v>0.13933563340410474</v>
      </c>
      <c r="N10" s="16">
        <f>M10*F10*10^3/(2*$C$16)</f>
        <v>2.6871872156505914</v>
      </c>
      <c r="O10" s="16">
        <f>N10*2</f>
        <v>5.3743744313011828</v>
      </c>
      <c r="P10" s="10">
        <f>L10*7*10^-3</f>
        <v>11.338537777777779</v>
      </c>
      <c r="Q10" s="16">
        <f>163*53000</f>
        <v>8639000</v>
      </c>
    </row>
    <row r="11" spans="2:19" x14ac:dyDescent="0.3">
      <c r="C11" s="7">
        <f>402.1</f>
        <v>402.1</v>
      </c>
      <c r="E11" s="1">
        <v>3.14</v>
      </c>
      <c r="F11" s="1">
        <v>10</v>
      </c>
      <c r="G11" s="1">
        <f t="shared" si="9"/>
        <v>314</v>
      </c>
      <c r="H11" s="1">
        <f t="shared" si="1"/>
        <v>62.800000000000004</v>
      </c>
      <c r="I11" s="1">
        <f t="shared" si="0"/>
        <v>1000</v>
      </c>
      <c r="J11" s="1">
        <f t="shared" si="2"/>
        <v>15.923566878980891</v>
      </c>
      <c r="K11" s="1">
        <v>5000</v>
      </c>
      <c r="L11" s="3">
        <f t="shared" si="3"/>
        <v>1628</v>
      </c>
      <c r="M11" s="9">
        <f t="shared" si="4"/>
        <v>0.11286186305732483</v>
      </c>
      <c r="N11" s="10">
        <f t="shared" si="5"/>
        <v>2.4184684940855319</v>
      </c>
      <c r="O11" s="10">
        <f t="shared" si="6"/>
        <v>4.8369369881710638</v>
      </c>
      <c r="P11" s="10">
        <f t="shared" si="7"/>
        <v>11.396000000000001</v>
      </c>
      <c r="Q11" s="10">
        <f t="shared" si="8"/>
        <v>603988</v>
      </c>
    </row>
    <row r="12" spans="2:19" ht="15.6" x14ac:dyDescent="0.3">
      <c r="C12" s="8">
        <f>143*10^6</f>
        <v>143000000</v>
      </c>
      <c r="E12" s="1">
        <v>3.14</v>
      </c>
      <c r="F12" s="1">
        <v>11</v>
      </c>
      <c r="G12" s="1">
        <f t="shared" si="9"/>
        <v>379.94</v>
      </c>
      <c r="H12" s="1">
        <f t="shared" si="1"/>
        <v>69.08</v>
      </c>
      <c r="I12" s="1">
        <f t="shared" si="0"/>
        <v>909.09090909090912</v>
      </c>
      <c r="J12" s="1">
        <f t="shared" si="2"/>
        <v>13.159972627256936</v>
      </c>
      <c r="K12" s="1">
        <v>5000</v>
      </c>
      <c r="L12" s="3">
        <f t="shared" si="3"/>
        <v>1668.9709090909091</v>
      </c>
      <c r="M12" s="9">
        <f t="shared" si="4"/>
        <v>9.3274266989524665E-2</v>
      </c>
      <c r="N12" s="10">
        <f t="shared" si="5"/>
        <v>2.1986077218959386</v>
      </c>
      <c r="O12" s="10">
        <f t="shared" si="6"/>
        <v>4.3972154437918771</v>
      </c>
      <c r="P12" s="10">
        <f t="shared" si="7"/>
        <v>11.682796363636363</v>
      </c>
      <c r="Q12" s="10">
        <f t="shared" si="8"/>
        <v>619188.20727272728</v>
      </c>
    </row>
    <row r="13" spans="2:19" x14ac:dyDescent="0.3">
      <c r="E13" s="1">
        <v>3.14</v>
      </c>
      <c r="F13" s="1">
        <v>12</v>
      </c>
      <c r="G13" s="1">
        <f t="shared" si="9"/>
        <v>452.16</v>
      </c>
      <c r="H13" s="1">
        <f t="shared" si="1"/>
        <v>75.36</v>
      </c>
      <c r="I13" s="1">
        <f t="shared" si="0"/>
        <v>833.33333333333337</v>
      </c>
      <c r="J13" s="1">
        <f t="shared" si="2"/>
        <v>11.058032554847841</v>
      </c>
      <c r="K13" s="1">
        <v>5000</v>
      </c>
      <c r="L13" s="3">
        <f t="shared" si="3"/>
        <v>1737.6533333333334</v>
      </c>
      <c r="M13" s="9">
        <f t="shared" si="4"/>
        <v>7.8376293789808912E-2</v>
      </c>
      <c r="N13" s="10">
        <f t="shared" si="5"/>
        <v>2.0153904117379433</v>
      </c>
      <c r="O13" s="10">
        <f t="shared" si="6"/>
        <v>4.0307808234758866</v>
      </c>
      <c r="P13" s="10">
        <f t="shared" si="7"/>
        <v>12.163573333333334</v>
      </c>
      <c r="Q13" s="10">
        <f t="shared" si="8"/>
        <v>644669.38666666672</v>
      </c>
    </row>
    <row r="14" spans="2:19" x14ac:dyDescent="0.3">
      <c r="B14" t="s">
        <v>20</v>
      </c>
      <c r="C14">
        <v>350</v>
      </c>
      <c r="E14" s="1">
        <v>3.14</v>
      </c>
      <c r="F14" s="1">
        <v>13</v>
      </c>
      <c r="G14" s="1">
        <f t="shared" si="9"/>
        <v>530.66</v>
      </c>
      <c r="H14" s="1">
        <f t="shared" si="1"/>
        <v>81.64</v>
      </c>
      <c r="I14" s="1">
        <f t="shared" si="0"/>
        <v>769.23076923076928</v>
      </c>
      <c r="J14" s="1">
        <f t="shared" si="2"/>
        <v>9.4222289224739004</v>
      </c>
      <c r="K14" s="1">
        <v>5000</v>
      </c>
      <c r="L14" s="3">
        <f t="shared" si="3"/>
        <v>1830.5507692307692</v>
      </c>
      <c r="M14" s="9">
        <f t="shared" si="4"/>
        <v>6.6782167489541328E-2</v>
      </c>
      <c r="N14" s="10">
        <f t="shared" si="5"/>
        <v>1.8603603800657942</v>
      </c>
      <c r="O14" s="10">
        <f t="shared" si="6"/>
        <v>3.7207207601315884</v>
      </c>
      <c r="P14" s="10">
        <f t="shared" si="7"/>
        <v>12.813855384615385</v>
      </c>
      <c r="Q14" s="10">
        <f t="shared" si="8"/>
        <v>679134.33538461546</v>
      </c>
    </row>
    <row r="15" spans="2:19" x14ac:dyDescent="0.3">
      <c r="B15" t="s">
        <v>21</v>
      </c>
      <c r="C15">
        <v>1.5</v>
      </c>
      <c r="E15" s="1">
        <v>3.14</v>
      </c>
      <c r="F15" s="1">
        <v>14</v>
      </c>
      <c r="G15" s="1">
        <f t="shared" si="9"/>
        <v>615.44000000000005</v>
      </c>
      <c r="H15" s="1">
        <f t="shared" si="1"/>
        <v>87.92</v>
      </c>
      <c r="I15" s="1">
        <f t="shared" si="0"/>
        <v>714.28571428571422</v>
      </c>
      <c r="J15" s="1">
        <f t="shared" si="2"/>
        <v>8.1242688158065768</v>
      </c>
      <c r="K15" s="1">
        <v>5000</v>
      </c>
      <c r="L15" s="3">
        <f t="shared" si="3"/>
        <v>1945.1657142857143</v>
      </c>
      <c r="M15" s="9">
        <f t="shared" si="4"/>
        <v>5.7582583192512665E-2</v>
      </c>
      <c r="N15" s="10">
        <f t="shared" si="5"/>
        <v>1.72747749577538</v>
      </c>
      <c r="O15" s="10">
        <f t="shared" si="6"/>
        <v>3.45495499155076</v>
      </c>
      <c r="P15" s="10">
        <f t="shared" si="7"/>
        <v>13.616160000000001</v>
      </c>
      <c r="Q15" s="10">
        <f t="shared" si="8"/>
        <v>721656.48</v>
      </c>
    </row>
    <row r="16" spans="2:19" x14ac:dyDescent="0.3">
      <c r="B16" t="s">
        <v>24</v>
      </c>
      <c r="C16" s="10">
        <f>C14/C15</f>
        <v>233.33333333333334</v>
      </c>
      <c r="E16" s="1">
        <v>3.14</v>
      </c>
      <c r="F16" s="1">
        <v>15</v>
      </c>
      <c r="G16" s="1">
        <f t="shared" si="9"/>
        <v>706.5</v>
      </c>
      <c r="H16" s="1">
        <f t="shared" si="1"/>
        <v>94.2</v>
      </c>
      <c r="I16" s="1">
        <f t="shared" si="0"/>
        <v>666.66666666666663</v>
      </c>
      <c r="J16" s="1">
        <f t="shared" si="2"/>
        <v>7.0771408351026182</v>
      </c>
      <c r="K16" s="1">
        <v>5000</v>
      </c>
      <c r="L16" s="3">
        <f t="shared" si="3"/>
        <v>2079.6666666666665</v>
      </c>
      <c r="M16" s="9">
        <f t="shared" si="4"/>
        <v>5.0160828025477708E-2</v>
      </c>
      <c r="N16" s="10">
        <f t="shared" si="5"/>
        <v>1.6123123293903547</v>
      </c>
      <c r="O16" s="10">
        <f t="shared" si="6"/>
        <v>3.2246246587807095</v>
      </c>
      <c r="P16" s="10">
        <f t="shared" si="7"/>
        <v>14.557666666666666</v>
      </c>
      <c r="Q16" s="10">
        <f t="shared" si="8"/>
        <v>771556.33333333326</v>
      </c>
    </row>
    <row r="17" spans="5:17" x14ac:dyDescent="0.3">
      <c r="E17" s="1">
        <v>3.14</v>
      </c>
      <c r="F17" s="1">
        <v>16</v>
      </c>
      <c r="G17" s="1">
        <f t="shared" si="9"/>
        <v>803.84</v>
      </c>
      <c r="H17" s="1">
        <f t="shared" si="1"/>
        <v>100.48</v>
      </c>
      <c r="I17" s="1">
        <f t="shared" si="0"/>
        <v>625</v>
      </c>
      <c r="J17" s="1">
        <f t="shared" si="2"/>
        <v>6.2201433121019107</v>
      </c>
      <c r="K17" s="1">
        <v>5000</v>
      </c>
      <c r="L17" s="3">
        <f t="shared" si="3"/>
        <v>2232.6800000000003</v>
      </c>
      <c r="M17" s="9">
        <f t="shared" si="4"/>
        <v>4.4086665256767507E-2</v>
      </c>
      <c r="N17" s="10">
        <f t="shared" si="5"/>
        <v>1.5115428088034575</v>
      </c>
      <c r="O17" s="10">
        <f t="shared" si="6"/>
        <v>3.023085617606915</v>
      </c>
      <c r="P17" s="10"/>
      <c r="Q17" s="10"/>
    </row>
    <row r="18" spans="5:17" x14ac:dyDescent="0.3">
      <c r="E18" s="1">
        <v>3.14</v>
      </c>
      <c r="F18" s="1">
        <v>17</v>
      </c>
      <c r="G18" s="1">
        <f t="shared" si="9"/>
        <v>907.46</v>
      </c>
      <c r="H18" s="1">
        <f t="shared" si="1"/>
        <v>106.76</v>
      </c>
      <c r="I18" s="1">
        <f t="shared" si="0"/>
        <v>588.23529411764707</v>
      </c>
      <c r="J18" s="1">
        <f t="shared" si="2"/>
        <v>5.5098847332113809</v>
      </c>
      <c r="K18" s="1">
        <v>5000</v>
      </c>
      <c r="L18" s="3">
        <f t="shared" si="3"/>
        <v>2403.1552941176469</v>
      </c>
      <c r="M18" s="9">
        <f t="shared" si="4"/>
        <v>3.9052547770700635E-2</v>
      </c>
      <c r="N18" s="10">
        <f t="shared" si="5"/>
        <v>1.4226285259326661</v>
      </c>
      <c r="O18" s="10">
        <f t="shared" si="6"/>
        <v>2.8452570518653322</v>
      </c>
      <c r="P18" s="10"/>
      <c r="Q18" s="10"/>
    </row>
    <row r="19" spans="5:17" x14ac:dyDescent="0.3">
      <c r="E19" s="1">
        <v>3.14</v>
      </c>
      <c r="F19" s="1">
        <v>18</v>
      </c>
      <c r="G19" s="1">
        <f t="shared" si="9"/>
        <v>1017.36</v>
      </c>
      <c r="H19" s="1">
        <f t="shared" si="1"/>
        <v>113.04</v>
      </c>
      <c r="I19" s="1">
        <f t="shared" si="0"/>
        <v>555.55555555555554</v>
      </c>
      <c r="J19" s="1">
        <f t="shared" si="2"/>
        <v>4.9146811354879292</v>
      </c>
      <c r="K19" s="1">
        <v>5000</v>
      </c>
      <c r="L19" s="3">
        <f t="shared" si="3"/>
        <v>2590.2755555555555</v>
      </c>
      <c r="M19" s="9">
        <f t="shared" si="4"/>
        <v>3.4833908351026184E-2</v>
      </c>
      <c r="N19" s="10">
        <f t="shared" si="5"/>
        <v>1.3435936078252957</v>
      </c>
      <c r="O19" s="10">
        <f t="shared" si="6"/>
        <v>2.6871872156505914</v>
      </c>
      <c r="P19" s="10"/>
      <c r="Q19" s="10"/>
    </row>
    <row r="20" spans="5:17" x14ac:dyDescent="0.3">
      <c r="E20" s="1">
        <v>3.14</v>
      </c>
      <c r="F20" s="1">
        <v>19</v>
      </c>
      <c r="G20" s="1">
        <f t="shared" si="9"/>
        <v>1133.54</v>
      </c>
      <c r="H20" s="1">
        <f t="shared" si="1"/>
        <v>119.32000000000001</v>
      </c>
      <c r="I20" s="1">
        <f t="shared" si="0"/>
        <v>526.31578947368428</v>
      </c>
      <c r="J20" s="1">
        <f t="shared" si="2"/>
        <v>4.4109603542883358</v>
      </c>
      <c r="K20" s="1">
        <v>5000</v>
      </c>
      <c r="L20" s="3">
        <f t="shared" si="3"/>
        <v>2793.3957894736841</v>
      </c>
      <c r="M20" s="9">
        <f t="shared" si="4"/>
        <v>3.1263673977098297E-2</v>
      </c>
      <c r="N20" s="10">
        <f t="shared" si="5"/>
        <v>1.2728781547818591</v>
      </c>
      <c r="O20" s="10">
        <f t="shared" si="6"/>
        <v>2.5457563095637181</v>
      </c>
      <c r="P20" s="10"/>
      <c r="Q20" s="10"/>
    </row>
    <row r="21" spans="5:17" x14ac:dyDescent="0.3">
      <c r="E21" s="1">
        <v>3.14</v>
      </c>
      <c r="F21" s="1">
        <v>20</v>
      </c>
      <c r="G21" s="1">
        <f t="shared" si="9"/>
        <v>1256</v>
      </c>
      <c r="H21" s="1">
        <f t="shared" si="1"/>
        <v>125.60000000000001</v>
      </c>
      <c r="I21" s="1">
        <f t="shared" si="0"/>
        <v>500</v>
      </c>
      <c r="J21" s="1">
        <f t="shared" si="2"/>
        <v>3.9808917197452227</v>
      </c>
      <c r="K21" s="1">
        <v>5000</v>
      </c>
      <c r="L21" s="3">
        <f t="shared" si="3"/>
        <v>3012</v>
      </c>
      <c r="M21" s="9">
        <f t="shared" si="4"/>
        <v>2.8215465764331208E-2</v>
      </c>
      <c r="N21" s="10">
        <f t="shared" si="5"/>
        <v>1.2092342470427659</v>
      </c>
      <c r="O21" s="10">
        <f t="shared" si="6"/>
        <v>2.4184684940855319</v>
      </c>
      <c r="P21" s="10"/>
      <c r="Q21" s="10"/>
    </row>
    <row r="22" spans="5:17" x14ac:dyDescent="0.3">
      <c r="E22" s="1">
        <v>3.14</v>
      </c>
      <c r="F22" s="1">
        <v>21</v>
      </c>
      <c r="G22" s="1">
        <f t="shared" si="9"/>
        <v>1384.74</v>
      </c>
      <c r="H22" s="1">
        <f t="shared" si="1"/>
        <v>131.88</v>
      </c>
      <c r="I22" s="1">
        <f t="shared" si="0"/>
        <v>476.19047619047615</v>
      </c>
      <c r="J22" s="1">
        <f t="shared" si="2"/>
        <v>3.6107861403584787</v>
      </c>
      <c r="K22" s="1">
        <v>5000</v>
      </c>
      <c r="L22" s="3">
        <f t="shared" si="3"/>
        <v>3245.6704761904762</v>
      </c>
      <c r="M22" s="9">
        <f t="shared" si="4"/>
        <v>2.5592259196672296E-2</v>
      </c>
      <c r="N22" s="10">
        <f t="shared" si="5"/>
        <v>1.1516516638502534</v>
      </c>
      <c r="O22" s="10">
        <f t="shared" si="6"/>
        <v>2.3033033277005068</v>
      </c>
      <c r="P22" s="10"/>
      <c r="Q22" s="10"/>
    </row>
    <row r="23" spans="5:17" x14ac:dyDescent="0.3">
      <c r="E23" s="1">
        <v>3.14</v>
      </c>
      <c r="F23" s="1">
        <v>22</v>
      </c>
      <c r="G23" s="1">
        <f t="shared" si="9"/>
        <v>1519.76</v>
      </c>
      <c r="H23" s="1">
        <f t="shared" si="1"/>
        <v>138.16</v>
      </c>
      <c r="I23" s="1">
        <f t="shared" si="0"/>
        <v>454.54545454545456</v>
      </c>
      <c r="J23" s="1">
        <f t="shared" si="2"/>
        <v>3.289993156814234</v>
      </c>
      <c r="K23" s="1">
        <v>5000</v>
      </c>
      <c r="L23" s="3">
        <f t="shared" si="3"/>
        <v>3494.0654545454545</v>
      </c>
      <c r="M23" s="9">
        <f t="shared" si="4"/>
        <v>2.3318566747381166E-2</v>
      </c>
      <c r="N23" s="10">
        <f t="shared" si="5"/>
        <v>1.0993038609479693</v>
      </c>
      <c r="O23" s="10">
        <f t="shared" si="6"/>
        <v>2.1986077218959386</v>
      </c>
      <c r="P23" s="10"/>
      <c r="Q23" s="10"/>
    </row>
    <row r="24" spans="5:17" x14ac:dyDescent="0.3">
      <c r="E24" s="1">
        <v>3.14</v>
      </c>
      <c r="F24" s="1">
        <v>23</v>
      </c>
      <c r="G24" s="1">
        <f t="shared" si="9"/>
        <v>1661.0600000000002</v>
      </c>
      <c r="H24" s="1">
        <f t="shared" si="1"/>
        <v>144.44</v>
      </c>
      <c r="I24" s="1">
        <f t="shared" si="0"/>
        <v>434.78260869565213</v>
      </c>
      <c r="J24" s="1">
        <f t="shared" si="2"/>
        <v>3.0101260640795635</v>
      </c>
      <c r="K24" s="1">
        <v>5000</v>
      </c>
      <c r="L24" s="3">
        <f t="shared" si="3"/>
        <v>3756.9026086956524</v>
      </c>
      <c r="M24" s="9">
        <f t="shared" si="4"/>
        <v>2.1334945757528322E-2</v>
      </c>
      <c r="N24" s="10">
        <f t="shared" si="5"/>
        <v>1.051508040906753</v>
      </c>
      <c r="O24" s="10">
        <f t="shared" si="6"/>
        <v>2.103016081813506</v>
      </c>
      <c r="P24" s="10"/>
      <c r="Q24" s="10"/>
    </row>
    <row r="25" spans="5:17" x14ac:dyDescent="0.3">
      <c r="E25" s="1">
        <v>3.14</v>
      </c>
      <c r="F25" s="1">
        <v>24</v>
      </c>
      <c r="G25" s="1">
        <f t="shared" si="9"/>
        <v>1808.64</v>
      </c>
      <c r="H25" s="1">
        <f t="shared" si="1"/>
        <v>150.72</v>
      </c>
      <c r="I25" s="1">
        <f t="shared" si="0"/>
        <v>416.66666666666669</v>
      </c>
      <c r="J25" s="1">
        <f t="shared" si="2"/>
        <v>2.7645081387119603</v>
      </c>
      <c r="K25" s="1">
        <v>5000</v>
      </c>
      <c r="L25" s="3">
        <f t="shared" si="3"/>
        <v>4033.9466666666667</v>
      </c>
      <c r="M25" s="9">
        <f t="shared" si="4"/>
        <v>1.9594073447452228E-2</v>
      </c>
      <c r="N25" s="10">
        <f t="shared" si="5"/>
        <v>1.0076952058689717</v>
      </c>
      <c r="O25" s="10">
        <f t="shared" si="6"/>
        <v>2.0153904117379433</v>
      </c>
      <c r="P25" s="10"/>
      <c r="Q25" s="10"/>
    </row>
    <row r="26" spans="5:17" x14ac:dyDescent="0.3">
      <c r="E26" s="1">
        <v>3.14</v>
      </c>
      <c r="F26" s="1">
        <v>25</v>
      </c>
      <c r="G26" s="1">
        <f t="shared" si="9"/>
        <v>1962.5</v>
      </c>
      <c r="H26" s="1">
        <f t="shared" si="1"/>
        <v>157</v>
      </c>
      <c r="I26" s="1">
        <f t="shared" si="0"/>
        <v>400</v>
      </c>
      <c r="J26" s="1">
        <f t="shared" si="2"/>
        <v>2.5477707006369426</v>
      </c>
      <c r="K26" s="1">
        <v>5000</v>
      </c>
      <c r="L26" s="3">
        <f t="shared" si="3"/>
        <v>4325</v>
      </c>
      <c r="M26" s="9">
        <f t="shared" si="4"/>
        <v>1.8057898089171971E-2</v>
      </c>
      <c r="N26" s="10">
        <f t="shared" si="5"/>
        <v>0.96738739763421278</v>
      </c>
      <c r="O26" s="10"/>
      <c r="P26" s="10"/>
      <c r="Q26" s="10"/>
    </row>
    <row r="27" spans="5:17" x14ac:dyDescent="0.3">
      <c r="E27" s="1">
        <v>3.14</v>
      </c>
      <c r="F27" s="1">
        <v>26</v>
      </c>
      <c r="G27" s="1">
        <f t="shared" si="9"/>
        <v>2122.64</v>
      </c>
      <c r="H27" s="1">
        <f t="shared" si="1"/>
        <v>163.28</v>
      </c>
      <c r="I27" s="1">
        <f t="shared" si="0"/>
        <v>384.61538461538464</v>
      </c>
      <c r="J27" s="1">
        <f t="shared" si="2"/>
        <v>2.3555572306184751</v>
      </c>
      <c r="K27" s="1">
        <v>5000</v>
      </c>
      <c r="L27" s="3">
        <f t="shared" si="3"/>
        <v>4629.8953846153845</v>
      </c>
      <c r="M27" s="9">
        <f t="shared" si="4"/>
        <v>1.6695541872385332E-2</v>
      </c>
      <c r="N27" s="10">
        <f t="shared" si="5"/>
        <v>0.93018019003289709</v>
      </c>
      <c r="O27" s="10"/>
      <c r="P27" s="10"/>
      <c r="Q27" s="10"/>
    </row>
    <row r="28" spans="5:17" x14ac:dyDescent="0.3">
      <c r="E28" s="1">
        <v>3.14</v>
      </c>
      <c r="F28" s="1">
        <v>27</v>
      </c>
      <c r="G28" s="1">
        <f t="shared" si="9"/>
        <v>2289.06</v>
      </c>
      <c r="H28" s="1">
        <f t="shared" si="1"/>
        <v>169.56</v>
      </c>
      <c r="I28" s="1">
        <f t="shared" si="0"/>
        <v>370.37037037037038</v>
      </c>
      <c r="J28" s="1">
        <f t="shared" si="2"/>
        <v>2.1843027268835242</v>
      </c>
      <c r="K28" s="1">
        <v>5000</v>
      </c>
      <c r="L28" s="3">
        <f t="shared" si="3"/>
        <v>4948.4903703703703</v>
      </c>
      <c r="M28" s="9">
        <f t="shared" si="4"/>
        <v>1.5481737044900528E-2</v>
      </c>
      <c r="N28" s="10">
        <f t="shared" si="5"/>
        <v>0.89572907188353057</v>
      </c>
      <c r="O28" s="10"/>
      <c r="P28" s="10"/>
      <c r="Q28" s="10"/>
    </row>
    <row r="29" spans="5:17" x14ac:dyDescent="0.3">
      <c r="E29" s="1">
        <v>3.14</v>
      </c>
      <c r="F29" s="1">
        <v>28</v>
      </c>
      <c r="G29" s="1">
        <f t="shared" si="9"/>
        <v>2461.7600000000002</v>
      </c>
      <c r="H29" s="1">
        <f t="shared" si="1"/>
        <v>175.84</v>
      </c>
      <c r="I29" s="1">
        <f t="shared" si="0"/>
        <v>357.14285714285711</v>
      </c>
      <c r="J29" s="1">
        <f t="shared" si="2"/>
        <v>2.0310672039516442</v>
      </c>
      <c r="K29" s="1">
        <v>5000</v>
      </c>
      <c r="L29" s="3">
        <f t="shared" si="3"/>
        <v>5280.6628571428573</v>
      </c>
      <c r="M29" s="9">
        <f t="shared" si="4"/>
        <v>1.4395645798128166E-2</v>
      </c>
      <c r="N29" s="10">
        <f t="shared" si="5"/>
        <v>0.86373874788769001</v>
      </c>
      <c r="O29" s="10"/>
      <c r="P29" s="10"/>
      <c r="Q29" s="10"/>
    </row>
    <row r="30" spans="5:17" x14ac:dyDescent="0.3">
      <c r="E30" s="1">
        <v>3.14</v>
      </c>
      <c r="F30" s="1">
        <v>29</v>
      </c>
      <c r="G30" s="1">
        <f t="shared" si="9"/>
        <v>2640.7400000000002</v>
      </c>
      <c r="H30" s="1">
        <f t="shared" si="1"/>
        <v>182.12</v>
      </c>
      <c r="I30" s="1">
        <f t="shared" si="0"/>
        <v>344.82758620689657</v>
      </c>
      <c r="J30" s="1">
        <f t="shared" si="2"/>
        <v>1.8934086657527813</v>
      </c>
      <c r="K30" s="1">
        <v>5000</v>
      </c>
      <c r="L30" s="3">
        <f t="shared" si="3"/>
        <v>5626.3075862068972</v>
      </c>
      <c r="M30" s="9">
        <f t="shared" si="4"/>
        <v>1.3419959935472632E-2</v>
      </c>
      <c r="N30" s="10">
        <f t="shared" si="5"/>
        <v>0.83395465313294215</v>
      </c>
      <c r="O30" s="10"/>
      <c r="P30" s="10"/>
      <c r="Q30" s="10"/>
    </row>
    <row r="31" spans="5:17" x14ac:dyDescent="0.3">
      <c r="E31" s="1">
        <v>3.14</v>
      </c>
      <c r="F31" s="1">
        <v>30</v>
      </c>
      <c r="G31" s="1">
        <f t="shared" si="9"/>
        <v>2826</v>
      </c>
      <c r="H31" s="1">
        <f t="shared" si="1"/>
        <v>188.4</v>
      </c>
      <c r="I31" s="1">
        <f t="shared" si="0"/>
        <v>333.33333333333331</v>
      </c>
      <c r="J31" s="1">
        <f t="shared" si="2"/>
        <v>1.7692852087756545</v>
      </c>
      <c r="K31" s="1">
        <v>5000</v>
      </c>
      <c r="L31" s="3">
        <f t="shared" si="3"/>
        <v>5985.333333333333</v>
      </c>
      <c r="M31" s="9">
        <f t="shared" si="4"/>
        <v>1.2540207006369427E-2</v>
      </c>
      <c r="N31" s="10">
        <f t="shared" si="5"/>
        <v>0.80615616469517737</v>
      </c>
      <c r="O31" s="10"/>
      <c r="P31" s="10"/>
      <c r="Q31" s="10"/>
    </row>
    <row r="32" spans="5:17" x14ac:dyDescent="0.3">
      <c r="E32" s="1">
        <v>3.14</v>
      </c>
      <c r="F32" s="1">
        <v>31</v>
      </c>
      <c r="G32" s="1">
        <f t="shared" si="9"/>
        <v>3017.54</v>
      </c>
      <c r="H32" s="1">
        <f t="shared" si="1"/>
        <v>194.68</v>
      </c>
      <c r="I32" s="1">
        <f t="shared" si="0"/>
        <v>322.58064516129031</v>
      </c>
      <c r="J32" s="1">
        <f t="shared" si="2"/>
        <v>1.6569788635776161</v>
      </c>
      <c r="K32" s="1">
        <v>5000</v>
      </c>
      <c r="L32" s="3">
        <f t="shared" si="3"/>
        <v>6357.6606451612906</v>
      </c>
      <c r="M32" s="9">
        <f t="shared" si="4"/>
        <v>1.1744210515850662E-2</v>
      </c>
      <c r="N32" s="10">
        <f t="shared" si="5"/>
        <v>0.78015112712436541</v>
      </c>
      <c r="O32" s="10"/>
      <c r="P32" s="10"/>
      <c r="Q32" s="10"/>
    </row>
    <row r="33" spans="5:17" x14ac:dyDescent="0.3">
      <c r="E33" s="1">
        <v>3.14</v>
      </c>
      <c r="F33" s="1">
        <v>32</v>
      </c>
      <c r="G33" s="1">
        <f t="shared" si="9"/>
        <v>3215.36</v>
      </c>
      <c r="H33" s="1">
        <f t="shared" si="1"/>
        <v>200.96</v>
      </c>
      <c r="I33" s="1">
        <f t="shared" si="0"/>
        <v>312.5</v>
      </c>
      <c r="J33" s="1">
        <f t="shared" si="2"/>
        <v>1.5550358280254777</v>
      </c>
      <c r="K33" s="1">
        <v>5000</v>
      </c>
      <c r="L33" s="3">
        <f t="shared" si="3"/>
        <v>6743.22</v>
      </c>
      <c r="M33" s="9">
        <f t="shared" si="4"/>
        <v>1.1021666314191877E-2</v>
      </c>
      <c r="N33" s="10">
        <f t="shared" si="5"/>
        <v>0.75577140440172874</v>
      </c>
      <c r="O33" s="10"/>
      <c r="P33" s="10"/>
      <c r="Q33" s="10"/>
    </row>
    <row r="34" spans="5:17" x14ac:dyDescent="0.3">
      <c r="E34" s="1">
        <v>3.14</v>
      </c>
      <c r="F34" s="1">
        <v>33</v>
      </c>
      <c r="G34" s="1">
        <f t="shared" si="9"/>
        <v>3419.46</v>
      </c>
      <c r="H34" s="1">
        <f t="shared" si="1"/>
        <v>207.24</v>
      </c>
      <c r="I34" s="1">
        <f t="shared" si="0"/>
        <v>303.030303030303</v>
      </c>
      <c r="J34" s="1">
        <f t="shared" si="2"/>
        <v>1.4622191808063261</v>
      </c>
      <c r="K34" s="1">
        <v>5000</v>
      </c>
      <c r="L34" s="3">
        <f t="shared" si="3"/>
        <v>7141.9503030303031</v>
      </c>
      <c r="M34" s="9">
        <f t="shared" si="4"/>
        <v>1.0363807443280519E-2</v>
      </c>
      <c r="N34" s="10">
        <f t="shared" si="5"/>
        <v>0.73286924063197956</v>
      </c>
      <c r="O34" s="10"/>
      <c r="P34" s="10"/>
      <c r="Q34" s="10"/>
    </row>
    <row r="35" spans="5:17" x14ac:dyDescent="0.3">
      <c r="E35" s="1">
        <v>3.14</v>
      </c>
      <c r="F35" s="1">
        <v>34</v>
      </c>
      <c r="G35" s="1">
        <f t="shared" si="9"/>
        <v>3629.84</v>
      </c>
      <c r="H35" s="1">
        <f t="shared" si="1"/>
        <v>213.52</v>
      </c>
      <c r="I35" s="1">
        <f t="shared" si="0"/>
        <v>294.11764705882354</v>
      </c>
      <c r="J35" s="1">
        <f t="shared" si="2"/>
        <v>1.3774711833028452</v>
      </c>
      <c r="K35" s="1">
        <v>5000</v>
      </c>
      <c r="L35" s="3">
        <f t="shared" si="3"/>
        <v>7553.7976470588237</v>
      </c>
      <c r="M35" s="9">
        <f t="shared" si="4"/>
        <v>9.7631369426751588E-3</v>
      </c>
      <c r="N35" s="10">
        <f t="shared" si="5"/>
        <v>0.71131426296633304</v>
      </c>
      <c r="O35" s="10"/>
      <c r="P35" s="10"/>
      <c r="Q35" s="10"/>
    </row>
    <row r="36" spans="5:17" x14ac:dyDescent="0.3">
      <c r="E36" s="1">
        <v>3.14</v>
      </c>
      <c r="F36" s="1">
        <v>35</v>
      </c>
      <c r="G36" s="1">
        <f t="shared" si="9"/>
        <v>3846.5</v>
      </c>
      <c r="H36" s="1">
        <f t="shared" si="1"/>
        <v>219.8</v>
      </c>
      <c r="I36" s="1">
        <f t="shared" si="0"/>
        <v>285.71428571428572</v>
      </c>
      <c r="J36" s="1">
        <f t="shared" si="2"/>
        <v>1.2998830105290524</v>
      </c>
      <c r="K36" s="1">
        <v>5000</v>
      </c>
      <c r="L36" s="3">
        <f t="shared" si="3"/>
        <v>7978.7142857142853</v>
      </c>
      <c r="M36" s="9">
        <f t="shared" si="4"/>
        <v>9.2132133108020296E-3</v>
      </c>
      <c r="N36" s="10">
        <f t="shared" si="5"/>
        <v>0.6909909983101522</v>
      </c>
      <c r="O36" s="10"/>
      <c r="P36" s="10"/>
      <c r="Q36" s="10"/>
    </row>
    <row r="37" spans="5:17" x14ac:dyDescent="0.3">
      <c r="E37" s="1">
        <v>3.14</v>
      </c>
      <c r="F37" s="1">
        <v>36</v>
      </c>
      <c r="G37" s="1">
        <f t="shared" si="9"/>
        <v>4069.44</v>
      </c>
      <c r="H37" s="1">
        <f t="shared" si="1"/>
        <v>226.08</v>
      </c>
      <c r="I37" s="1">
        <f t="shared" si="0"/>
        <v>277.77777777777777</v>
      </c>
      <c r="J37" s="1">
        <f t="shared" si="2"/>
        <v>1.2286702838719823</v>
      </c>
      <c r="K37" s="1">
        <v>5000</v>
      </c>
      <c r="L37" s="3">
        <f t="shared" si="3"/>
        <v>8416.6577777777784</v>
      </c>
      <c r="M37" s="9">
        <f t="shared" si="4"/>
        <v>8.708477087756546E-3</v>
      </c>
      <c r="N37" s="10">
        <f t="shared" si="5"/>
        <v>0.67179680391264784</v>
      </c>
      <c r="O37" s="10"/>
      <c r="P37" s="10"/>
      <c r="Q37" s="10"/>
    </row>
    <row r="38" spans="5:17" x14ac:dyDescent="0.3">
      <c r="E38" s="1">
        <v>3.14</v>
      </c>
      <c r="F38" s="1">
        <v>37</v>
      </c>
      <c r="G38" s="1">
        <f t="shared" si="9"/>
        <v>4298.66</v>
      </c>
      <c r="H38" s="1">
        <f t="shared" si="1"/>
        <v>232.36</v>
      </c>
      <c r="I38" s="1">
        <f t="shared" si="0"/>
        <v>270.27027027027032</v>
      </c>
      <c r="J38" s="1">
        <f t="shared" si="2"/>
        <v>1.1631531686618621</v>
      </c>
      <c r="K38" s="1">
        <v>5000</v>
      </c>
      <c r="L38" s="3">
        <f t="shared" si="3"/>
        <v>8867.5902702702697</v>
      </c>
      <c r="M38" s="9">
        <f t="shared" si="4"/>
        <v>8.2441097923538955E-3</v>
      </c>
      <c r="N38" s="10">
        <f t="shared" si="5"/>
        <v>0.65364013353663031</v>
      </c>
      <c r="O38" s="10"/>
      <c r="P38" s="10"/>
      <c r="Q38" s="10"/>
    </row>
    <row r="39" spans="5:17" x14ac:dyDescent="0.3">
      <c r="E39" s="1">
        <v>3.14</v>
      </c>
      <c r="F39" s="1">
        <v>38</v>
      </c>
      <c r="G39" s="1">
        <f t="shared" si="9"/>
        <v>4534.16</v>
      </c>
      <c r="H39" s="1">
        <f t="shared" si="1"/>
        <v>238.64000000000001</v>
      </c>
      <c r="I39" s="1">
        <f t="shared" si="0"/>
        <v>263.15789473684214</v>
      </c>
      <c r="J39" s="1">
        <f t="shared" si="2"/>
        <v>1.1027400885720839</v>
      </c>
      <c r="K39" s="1">
        <v>5000</v>
      </c>
      <c r="L39" s="3">
        <f t="shared" si="3"/>
        <v>9331.4778947368413</v>
      </c>
      <c r="M39" s="9">
        <f t="shared" si="4"/>
        <v>7.8159184942745742E-3</v>
      </c>
      <c r="N39" s="10">
        <f t="shared" si="5"/>
        <v>0.63643907739092953</v>
      </c>
      <c r="O39" s="10"/>
      <c r="P39" s="10"/>
      <c r="Q39" s="10"/>
    </row>
    <row r="40" spans="5:17" x14ac:dyDescent="0.3">
      <c r="E40" s="1">
        <v>3.14</v>
      </c>
      <c r="F40" s="1">
        <v>39</v>
      </c>
      <c r="G40" s="1">
        <f t="shared" si="9"/>
        <v>4775.9400000000005</v>
      </c>
      <c r="H40" s="1">
        <f t="shared" si="1"/>
        <v>244.92000000000002</v>
      </c>
      <c r="I40" s="1">
        <f t="shared" si="0"/>
        <v>256.41025641025641</v>
      </c>
      <c r="J40" s="1">
        <f t="shared" si="2"/>
        <v>1.0469143247193222</v>
      </c>
      <c r="K40" s="1">
        <v>5000</v>
      </c>
      <c r="L40" s="3">
        <f t="shared" si="3"/>
        <v>9808.2902564102569</v>
      </c>
      <c r="M40" s="9">
        <f t="shared" si="4"/>
        <v>7.4202408321712579E-3</v>
      </c>
      <c r="N40" s="10">
        <f t="shared" si="5"/>
        <v>0.62012012668859784</v>
      </c>
      <c r="O40" s="10"/>
      <c r="P40" s="10"/>
      <c r="Q40" s="10"/>
    </row>
    <row r="41" spans="5:17" x14ac:dyDescent="0.3">
      <c r="E41" s="1">
        <v>3.14</v>
      </c>
      <c r="F41" s="1">
        <v>40</v>
      </c>
      <c r="G41" s="1">
        <f t="shared" si="9"/>
        <v>5024</v>
      </c>
      <c r="H41" s="1">
        <f t="shared" si="1"/>
        <v>251.20000000000002</v>
      </c>
      <c r="I41" s="1">
        <f t="shared" si="0"/>
        <v>250</v>
      </c>
      <c r="J41" s="1">
        <f t="shared" si="2"/>
        <v>0.99522292993630568</v>
      </c>
      <c r="K41" s="1">
        <v>5000</v>
      </c>
      <c r="L41" s="3">
        <f t="shared" si="3"/>
        <v>10298</v>
      </c>
      <c r="M41" s="9">
        <f t="shared" si="4"/>
        <v>7.053866441082802E-3</v>
      </c>
      <c r="N41" s="10">
        <f t="shared" si="5"/>
        <v>0.60461712352138297</v>
      </c>
      <c r="O41" s="10"/>
      <c r="P41" s="10"/>
      <c r="Q41" s="10"/>
    </row>
    <row r="42" spans="5:17" x14ac:dyDescent="0.3">
      <c r="E42" s="1">
        <v>3.14</v>
      </c>
      <c r="F42" s="1">
        <v>41</v>
      </c>
      <c r="G42" s="1">
        <f t="shared" si="9"/>
        <v>5278.34</v>
      </c>
      <c r="H42" s="1">
        <f t="shared" si="1"/>
        <v>257.48</v>
      </c>
      <c r="I42" s="1">
        <f t="shared" si="0"/>
        <v>243.90243902439025</v>
      </c>
      <c r="J42" s="1">
        <f t="shared" si="2"/>
        <v>0.94726751213449678</v>
      </c>
      <c r="K42" s="1">
        <v>5000</v>
      </c>
      <c r="L42" s="3">
        <f t="shared" si="3"/>
        <v>10800.582439024391</v>
      </c>
      <c r="M42" s="9">
        <f t="shared" si="4"/>
        <v>6.7139716274434756E-3</v>
      </c>
      <c r="N42" s="10">
        <f t="shared" si="5"/>
        <v>0.58987036441110541</v>
      </c>
      <c r="O42" s="10"/>
      <c r="P42" s="10"/>
      <c r="Q42" s="10"/>
    </row>
    <row r="43" spans="5:17" x14ac:dyDescent="0.3">
      <c r="E43" s="1">
        <v>3.14</v>
      </c>
      <c r="F43" s="1">
        <v>42</v>
      </c>
      <c r="G43" s="1">
        <f t="shared" si="9"/>
        <v>5538.96</v>
      </c>
      <c r="H43" s="1">
        <f t="shared" si="1"/>
        <v>263.76</v>
      </c>
      <c r="I43" s="1">
        <f t="shared" si="0"/>
        <v>238.09523809523807</v>
      </c>
      <c r="J43" s="1">
        <f t="shared" si="2"/>
        <v>0.90269653508961967</v>
      </c>
      <c r="K43" s="1">
        <v>5000</v>
      </c>
      <c r="L43" s="3">
        <f t="shared" si="3"/>
        <v>11316.015238095239</v>
      </c>
      <c r="M43" s="9">
        <f t="shared" si="4"/>
        <v>6.3980647991680739E-3</v>
      </c>
      <c r="N43" s="10">
        <f t="shared" si="5"/>
        <v>0.57582583192512671</v>
      </c>
      <c r="O43" s="10"/>
      <c r="P43" s="10"/>
      <c r="Q43" s="10"/>
    </row>
    <row r="44" spans="5:17" x14ac:dyDescent="0.3">
      <c r="E44" s="1">
        <v>3.14</v>
      </c>
      <c r="F44" s="1">
        <v>43</v>
      </c>
      <c r="G44" s="1">
        <f t="shared" si="9"/>
        <v>5805.8600000000006</v>
      </c>
      <c r="H44" s="1">
        <f t="shared" si="1"/>
        <v>270.04000000000002</v>
      </c>
      <c r="I44" s="1">
        <f t="shared" si="0"/>
        <v>232.55813953488371</v>
      </c>
      <c r="J44" s="1">
        <f t="shared" si="2"/>
        <v>0.86119885770583504</v>
      </c>
      <c r="K44" s="1">
        <v>5000</v>
      </c>
      <c r="L44" s="3">
        <f t="shared" si="3"/>
        <v>11844.278139534885</v>
      </c>
      <c r="M44" s="9">
        <f t="shared" si="4"/>
        <v>6.1039406737330897E-3</v>
      </c>
      <c r="N44" s="10">
        <f t="shared" si="5"/>
        <v>0.56243453350826333</v>
      </c>
      <c r="O44" s="10"/>
      <c r="P44" s="10"/>
      <c r="Q44" s="10"/>
    </row>
    <row r="45" spans="5:17" x14ac:dyDescent="0.3">
      <c r="E45" s="1">
        <v>3.14</v>
      </c>
      <c r="F45" s="1">
        <v>44</v>
      </c>
      <c r="G45" s="1">
        <f t="shared" si="9"/>
        <v>6079.04</v>
      </c>
      <c r="H45" s="1">
        <f t="shared" si="1"/>
        <v>276.32</v>
      </c>
      <c r="I45" s="1">
        <f t="shared" si="0"/>
        <v>227.27272727272728</v>
      </c>
      <c r="J45" s="1">
        <f t="shared" si="2"/>
        <v>0.8224982892035585</v>
      </c>
      <c r="K45" s="1">
        <v>5000</v>
      </c>
      <c r="L45" s="3">
        <f t="shared" si="3"/>
        <v>12385.352727272728</v>
      </c>
      <c r="M45" s="9">
        <f t="shared" si="4"/>
        <v>5.8296416868452916E-3</v>
      </c>
      <c r="N45" s="10">
        <f t="shared" si="5"/>
        <v>0.54965193047398464</v>
      </c>
      <c r="O45" s="10"/>
      <c r="P45" s="10"/>
      <c r="Q45" s="10"/>
    </row>
    <row r="46" spans="5:17" x14ac:dyDescent="0.3">
      <c r="E46" s="1">
        <v>3.14</v>
      </c>
      <c r="F46" s="1">
        <v>45</v>
      </c>
      <c r="G46" s="1">
        <f t="shared" si="9"/>
        <v>6358.5</v>
      </c>
      <c r="H46" s="1">
        <f t="shared" si="1"/>
        <v>282.60000000000002</v>
      </c>
      <c r="I46" s="1">
        <f t="shared" si="0"/>
        <v>222.22222222222226</v>
      </c>
      <c r="J46" s="1">
        <f t="shared" si="2"/>
        <v>0.78634898167806877</v>
      </c>
      <c r="K46" s="1">
        <v>5000</v>
      </c>
      <c r="L46" s="3">
        <f t="shared" si="3"/>
        <v>12939.222222222223</v>
      </c>
      <c r="M46" s="9">
        <f t="shared" si="4"/>
        <v>5.5734253361641893E-3</v>
      </c>
      <c r="N46" s="10">
        <f t="shared" si="5"/>
        <v>0.53743744313011821</v>
      </c>
      <c r="O46" s="10"/>
      <c r="P46" s="10"/>
      <c r="Q46" s="10"/>
    </row>
    <row r="47" spans="5:17" x14ac:dyDescent="0.3">
      <c r="E47" s="1">
        <v>3.14</v>
      </c>
      <c r="F47" s="1">
        <v>46</v>
      </c>
      <c r="G47" s="1">
        <f t="shared" si="9"/>
        <v>6644.2400000000007</v>
      </c>
      <c r="H47" s="1">
        <f t="shared" si="1"/>
        <v>288.88</v>
      </c>
      <c r="I47" s="1">
        <f t="shared" si="0"/>
        <v>217.39130434782606</v>
      </c>
      <c r="J47" s="1">
        <f t="shared" si="2"/>
        <v>0.75253151601989088</v>
      </c>
      <c r="K47" s="1">
        <v>5000</v>
      </c>
      <c r="L47" s="3">
        <f t="shared" si="3"/>
        <v>13505.871304347827</v>
      </c>
      <c r="M47" s="9">
        <f t="shared" si="4"/>
        <v>5.3337364393820806E-3</v>
      </c>
      <c r="N47" s="10">
        <f t="shared" si="5"/>
        <v>0.52575402045337649</v>
      </c>
      <c r="O47" s="10"/>
      <c r="P47" s="10"/>
      <c r="Q47" s="10"/>
    </row>
    <row r="48" spans="5:17" x14ac:dyDescent="0.3">
      <c r="E48" s="1">
        <v>3.14</v>
      </c>
      <c r="F48" s="1">
        <v>47</v>
      </c>
      <c r="G48" s="1">
        <f t="shared" si="9"/>
        <v>6936.26</v>
      </c>
      <c r="H48" s="1">
        <f t="shared" si="1"/>
        <v>295.16000000000003</v>
      </c>
      <c r="I48" s="1">
        <f t="shared" si="0"/>
        <v>212.76595744680853</v>
      </c>
      <c r="J48" s="1">
        <f t="shared" si="2"/>
        <v>0.7208495644626931</v>
      </c>
      <c r="K48" s="1">
        <v>5000</v>
      </c>
      <c r="L48" s="3">
        <f t="shared" si="3"/>
        <v>14085.285957446809</v>
      </c>
      <c r="M48" s="9">
        <f t="shared" si="4"/>
        <v>5.109183479281341E-3</v>
      </c>
      <c r="N48" s="10">
        <f t="shared" si="5"/>
        <v>0.5145677646990493</v>
      </c>
      <c r="O48" s="10"/>
      <c r="P48" s="10"/>
      <c r="Q48" s="10"/>
    </row>
    <row r="49" spans="5:17" x14ac:dyDescent="0.3">
      <c r="E49" s="1">
        <v>3.14</v>
      </c>
      <c r="F49" s="1">
        <v>48</v>
      </c>
      <c r="G49" s="1">
        <f t="shared" si="9"/>
        <v>7234.56</v>
      </c>
      <c r="H49" s="1">
        <f t="shared" si="1"/>
        <v>301.44</v>
      </c>
      <c r="I49" s="1">
        <f t="shared" si="0"/>
        <v>208.33333333333334</v>
      </c>
      <c r="J49" s="1">
        <f t="shared" si="2"/>
        <v>0.69112703467799008</v>
      </c>
      <c r="K49" s="1">
        <v>5000</v>
      </c>
      <c r="L49" s="3">
        <f t="shared" si="3"/>
        <v>14677.453333333335</v>
      </c>
      <c r="M49" s="9">
        <f t="shared" si="4"/>
        <v>4.898518361863057E-3</v>
      </c>
      <c r="N49" s="10">
        <f t="shared" si="5"/>
        <v>0.50384760293448583</v>
      </c>
      <c r="O49" s="10"/>
      <c r="P49" s="10"/>
      <c r="Q49" s="10"/>
    </row>
    <row r="50" spans="5:17" x14ac:dyDescent="0.3">
      <c r="E50" s="1">
        <v>3.14</v>
      </c>
      <c r="F50" s="1">
        <v>49</v>
      </c>
      <c r="G50" s="1">
        <f t="shared" si="9"/>
        <v>7539.14</v>
      </c>
      <c r="H50" s="1">
        <f t="shared" si="1"/>
        <v>307.72000000000003</v>
      </c>
      <c r="I50" s="1">
        <f t="shared" si="0"/>
        <v>204.08163265306123</v>
      </c>
      <c r="J50" s="1">
        <f t="shared" si="2"/>
        <v>0.66320561761686347</v>
      </c>
      <c r="K50" s="1">
        <v>5000</v>
      </c>
      <c r="L50" s="3">
        <f t="shared" si="3"/>
        <v>15282.361632653063</v>
      </c>
      <c r="M50" s="9">
        <f t="shared" si="4"/>
        <v>4.700619036123484E-3</v>
      </c>
      <c r="N50" s="10">
        <f t="shared" si="5"/>
        <v>0.49356499879296578</v>
      </c>
      <c r="O50" s="10"/>
      <c r="P50" s="10"/>
      <c r="Q50" s="10"/>
    </row>
    <row r="51" spans="5:17" x14ac:dyDescent="0.3">
      <c r="E51" s="1">
        <v>3.14</v>
      </c>
      <c r="F51" s="1">
        <v>50</v>
      </c>
      <c r="G51" s="1">
        <f t="shared" si="9"/>
        <v>7850</v>
      </c>
      <c r="H51" s="1">
        <f t="shared" si="1"/>
        <v>314</v>
      </c>
      <c r="I51" s="1">
        <f t="shared" si="0"/>
        <v>200</v>
      </c>
      <c r="J51" s="1">
        <f t="shared" si="2"/>
        <v>0.63694267515923564</v>
      </c>
      <c r="K51" s="1">
        <v>5000</v>
      </c>
      <c r="L51" s="3">
        <f t="shared" si="3"/>
        <v>15900</v>
      </c>
      <c r="M51" s="9">
        <f t="shared" si="4"/>
        <v>4.5144745222929928E-3</v>
      </c>
      <c r="N51" s="10">
        <f t="shared" si="5"/>
        <v>0.48369369881710639</v>
      </c>
      <c r="O51" s="10"/>
      <c r="P51" s="10"/>
      <c r="Q51" s="10"/>
    </row>
    <row r="52" spans="5:17" x14ac:dyDescent="0.3">
      <c r="E52" s="1">
        <v>3.14</v>
      </c>
      <c r="F52" s="1">
        <v>51</v>
      </c>
      <c r="G52" s="1">
        <f t="shared" si="9"/>
        <v>8167.14</v>
      </c>
      <c r="H52" s="1">
        <f t="shared" si="1"/>
        <v>320.28000000000003</v>
      </c>
      <c r="I52" s="1">
        <f t="shared" si="0"/>
        <v>196.07843137254903</v>
      </c>
      <c r="J52" s="1">
        <f t="shared" si="2"/>
        <v>0.61220941480126456</v>
      </c>
      <c r="K52" s="1">
        <v>5000</v>
      </c>
      <c r="L52" s="3">
        <f t="shared" si="3"/>
        <v>16530.358431372551</v>
      </c>
      <c r="M52" s="9">
        <f t="shared" si="4"/>
        <v>4.339171974522292E-3</v>
      </c>
      <c r="N52" s="10">
        <f t="shared" si="5"/>
        <v>0.47420950864422184</v>
      </c>
      <c r="O52" s="10"/>
      <c r="P52" s="10"/>
      <c r="Q52" s="10"/>
    </row>
    <row r="53" spans="5:17" x14ac:dyDescent="0.3">
      <c r="E53" s="1">
        <v>3.14</v>
      </c>
      <c r="F53" s="1">
        <v>52</v>
      </c>
      <c r="G53" s="1">
        <f t="shared" si="9"/>
        <v>8490.56</v>
      </c>
      <c r="H53" s="1">
        <f t="shared" si="1"/>
        <v>326.56</v>
      </c>
      <c r="I53" s="1">
        <f t="shared" si="0"/>
        <v>192.30769230769232</v>
      </c>
      <c r="J53" s="1">
        <f t="shared" si="2"/>
        <v>0.58888930765461878</v>
      </c>
      <c r="K53" s="1">
        <v>5000</v>
      </c>
      <c r="L53" s="3">
        <f t="shared" si="3"/>
        <v>17173.42769230769</v>
      </c>
      <c r="M53" s="9">
        <f t="shared" si="4"/>
        <v>4.173885468096333E-3</v>
      </c>
      <c r="N53" s="10">
        <f t="shared" si="5"/>
        <v>0.46509009501644855</v>
      </c>
      <c r="O53" s="10"/>
      <c r="P53" s="10"/>
      <c r="Q53" s="10"/>
    </row>
    <row r="54" spans="5:17" x14ac:dyDescent="0.3">
      <c r="E54" s="1">
        <v>3.14</v>
      </c>
      <c r="F54" s="1">
        <v>53</v>
      </c>
      <c r="G54" s="1">
        <f t="shared" si="9"/>
        <v>8820.26</v>
      </c>
      <c r="H54" s="1">
        <f t="shared" si="1"/>
        <v>332.84000000000003</v>
      </c>
      <c r="I54" s="1">
        <f t="shared" si="0"/>
        <v>188.6792452830189</v>
      </c>
      <c r="J54" s="1">
        <f t="shared" si="2"/>
        <v>0.56687671338486623</v>
      </c>
      <c r="K54" s="1">
        <v>5000</v>
      </c>
      <c r="L54" s="3">
        <f t="shared" si="3"/>
        <v>17829.19924528302</v>
      </c>
      <c r="M54" s="9">
        <f t="shared" si="4"/>
        <v>4.0178662533757502E-3</v>
      </c>
      <c r="N54" s="10">
        <f t="shared" si="5"/>
        <v>0.45631481020481729</v>
      </c>
      <c r="O54" s="10"/>
      <c r="P54" s="10"/>
      <c r="Q54" s="10"/>
    </row>
    <row r="55" spans="5:17" x14ac:dyDescent="0.3">
      <c r="E55" s="1">
        <v>3.14</v>
      </c>
      <c r="F55" s="1">
        <v>54</v>
      </c>
      <c r="G55" s="1">
        <f t="shared" si="9"/>
        <v>9156.24</v>
      </c>
      <c r="H55" s="1">
        <f t="shared" si="1"/>
        <v>339.12</v>
      </c>
      <c r="I55" s="1">
        <f t="shared" si="0"/>
        <v>185.18518518518519</v>
      </c>
      <c r="J55" s="1">
        <f t="shared" si="2"/>
        <v>0.54607568172088106</v>
      </c>
      <c r="K55" s="1">
        <v>5000</v>
      </c>
      <c r="L55" s="3">
        <f t="shared" si="3"/>
        <v>18497.665185185186</v>
      </c>
      <c r="M55" s="9">
        <f t="shared" si="4"/>
        <v>3.8704342612251321E-3</v>
      </c>
      <c r="N55" s="10">
        <f t="shared" si="5"/>
        <v>0.44786453594176528</v>
      </c>
      <c r="O55" s="10"/>
      <c r="P55" s="10"/>
      <c r="Q55" s="10"/>
    </row>
    <row r="56" spans="5:17" x14ac:dyDescent="0.3">
      <c r="E56" s="1">
        <v>3.14</v>
      </c>
      <c r="F56" s="1">
        <v>55</v>
      </c>
      <c r="G56" s="1">
        <f t="shared" si="9"/>
        <v>9498.5</v>
      </c>
      <c r="H56" s="1">
        <f t="shared" si="1"/>
        <v>345.40000000000003</v>
      </c>
      <c r="I56" s="1">
        <f t="shared" si="0"/>
        <v>181.81818181818184</v>
      </c>
      <c r="J56" s="1">
        <f t="shared" si="2"/>
        <v>0.52639890509027742</v>
      </c>
      <c r="K56" s="1">
        <v>5000</v>
      </c>
      <c r="L56" s="3">
        <f t="shared" si="3"/>
        <v>19178.81818181818</v>
      </c>
      <c r="M56" s="9">
        <f t="shared" si="4"/>
        <v>3.7309706795809862E-3</v>
      </c>
      <c r="N56" s="10">
        <f t="shared" si="5"/>
        <v>0.43972154437918759</v>
      </c>
      <c r="O56" s="10"/>
      <c r="P56" s="10"/>
      <c r="Q56" s="10"/>
    </row>
    <row r="57" spans="5:17" x14ac:dyDescent="0.3">
      <c r="E57" s="1">
        <v>3.14</v>
      </c>
      <c r="F57" s="1">
        <v>56</v>
      </c>
      <c r="G57" s="1">
        <f t="shared" si="9"/>
        <v>9847.0400000000009</v>
      </c>
      <c r="H57" s="1">
        <f t="shared" si="1"/>
        <v>351.68</v>
      </c>
      <c r="I57" s="1">
        <f t="shared" si="0"/>
        <v>178.57142857142856</v>
      </c>
      <c r="J57" s="1">
        <f t="shared" si="2"/>
        <v>0.50776680098791105</v>
      </c>
      <c r="K57" s="1">
        <v>5000</v>
      </c>
      <c r="L57" s="3">
        <f t="shared" si="3"/>
        <v>19872.651428571429</v>
      </c>
      <c r="M57" s="9">
        <f t="shared" si="4"/>
        <v>3.5989114495320416E-3</v>
      </c>
      <c r="N57" s="10">
        <f t="shared" si="5"/>
        <v>0.431869373943845</v>
      </c>
      <c r="O57" s="10"/>
      <c r="P57" s="10"/>
      <c r="Q57" s="10"/>
    </row>
    <row r="58" spans="5:17" x14ac:dyDescent="0.3">
      <c r="E58" s="1">
        <v>3.14</v>
      </c>
      <c r="F58" s="1">
        <v>57</v>
      </c>
      <c r="G58" s="1">
        <f t="shared" si="9"/>
        <v>10201.86</v>
      </c>
      <c r="H58" s="1">
        <f t="shared" si="1"/>
        <v>357.96000000000004</v>
      </c>
      <c r="I58" s="1">
        <f t="shared" si="0"/>
        <v>175.43859649122808</v>
      </c>
      <c r="J58" s="1">
        <f t="shared" si="2"/>
        <v>0.49010670603203726</v>
      </c>
      <c r="K58" s="1">
        <v>5000</v>
      </c>
      <c r="L58" s="3">
        <f t="shared" si="3"/>
        <v>20579.15859649123</v>
      </c>
      <c r="M58" s="9">
        <f t="shared" si="4"/>
        <v>3.4737415530109207E-3</v>
      </c>
      <c r="N58" s="10">
        <f t="shared" si="5"/>
        <v>0.42429271826061959</v>
      </c>
      <c r="O58" s="10"/>
      <c r="P58" s="10"/>
      <c r="Q58" s="10"/>
    </row>
    <row r="59" spans="5:17" x14ac:dyDescent="0.3">
      <c r="E59" s="1">
        <v>3.14</v>
      </c>
      <c r="F59" s="1">
        <v>58</v>
      </c>
      <c r="G59" s="1">
        <f t="shared" si="9"/>
        <v>10562.960000000001</v>
      </c>
      <c r="H59" s="1">
        <f t="shared" si="1"/>
        <v>364.24</v>
      </c>
      <c r="I59" s="1">
        <f t="shared" si="0"/>
        <v>172.41379310344828</v>
      </c>
      <c r="J59" s="1">
        <f t="shared" si="2"/>
        <v>0.47335216643819533</v>
      </c>
      <c r="K59" s="1">
        <v>5000</v>
      </c>
      <c r="L59" s="3">
        <f t="shared" si="3"/>
        <v>21298.333793103451</v>
      </c>
      <c r="M59" s="9">
        <f t="shared" si="4"/>
        <v>3.354989983868158E-3</v>
      </c>
      <c r="N59" s="10">
        <f t="shared" si="5"/>
        <v>0.41697732656647107</v>
      </c>
      <c r="O59" s="10"/>
      <c r="P59" s="10"/>
      <c r="Q59" s="10"/>
    </row>
    <row r="60" spans="5:17" x14ac:dyDescent="0.3">
      <c r="E60" s="1">
        <v>3.14</v>
      </c>
      <c r="F60" s="1">
        <v>59</v>
      </c>
      <c r="G60" s="1">
        <f t="shared" si="9"/>
        <v>10930.34</v>
      </c>
      <c r="H60" s="1">
        <f t="shared" si="1"/>
        <v>370.52000000000004</v>
      </c>
      <c r="I60" s="1">
        <f t="shared" si="0"/>
        <v>169.49152542372883</v>
      </c>
      <c r="J60" s="1">
        <f t="shared" si="2"/>
        <v>0.45744231195003998</v>
      </c>
      <c r="K60" s="1">
        <v>5000</v>
      </c>
      <c r="L60" s="3">
        <f t="shared" si="3"/>
        <v>22030.171525423728</v>
      </c>
      <c r="M60" s="9">
        <f t="shared" si="4"/>
        <v>3.2422253104660969E-3</v>
      </c>
      <c r="N60" s="10">
        <f t="shared" si="5"/>
        <v>0.40990991425178508</v>
      </c>
      <c r="O60" s="10"/>
      <c r="P60" s="10"/>
      <c r="Q60" s="10"/>
    </row>
    <row r="61" spans="5:17" x14ac:dyDescent="0.3">
      <c r="E61" s="1">
        <v>3.14</v>
      </c>
      <c r="F61" s="1">
        <v>60</v>
      </c>
      <c r="G61" s="1">
        <f t="shared" si="9"/>
        <v>11304</v>
      </c>
      <c r="H61" s="1">
        <f t="shared" si="1"/>
        <v>376.8</v>
      </c>
      <c r="I61" s="1">
        <f t="shared" si="0"/>
        <v>166.66666666666666</v>
      </c>
      <c r="J61" s="1">
        <f t="shared" si="2"/>
        <v>0.44232130219391363</v>
      </c>
      <c r="K61" s="1">
        <v>5000</v>
      </c>
      <c r="L61" s="3">
        <f t="shared" si="3"/>
        <v>22774.666666666668</v>
      </c>
      <c r="M61" s="9">
        <f t="shared" si="4"/>
        <v>3.1350517515923567E-3</v>
      </c>
      <c r="N61" s="10">
        <f t="shared" si="5"/>
        <v>0.40307808234758868</v>
      </c>
      <c r="O61" s="10"/>
      <c r="P61" s="10"/>
      <c r="Q61" s="10"/>
    </row>
    <row r="62" spans="5:17" x14ac:dyDescent="0.3">
      <c r="E62" s="1">
        <v>3.14</v>
      </c>
      <c r="F62" s="1">
        <v>61</v>
      </c>
      <c r="G62" s="1">
        <f t="shared" si="9"/>
        <v>11683.94</v>
      </c>
      <c r="H62" s="1">
        <f t="shared" si="1"/>
        <v>383.08000000000004</v>
      </c>
      <c r="I62" s="1">
        <f t="shared" si="0"/>
        <v>163.9344262295082</v>
      </c>
      <c r="J62" s="1">
        <f t="shared" si="2"/>
        <v>0.42793783603818575</v>
      </c>
      <c r="K62" s="1">
        <v>5000</v>
      </c>
      <c r="L62" s="3">
        <f t="shared" si="3"/>
        <v>23531.81442622951</v>
      </c>
      <c r="M62" s="9">
        <f t="shared" si="4"/>
        <v>3.0331056989337502E-3</v>
      </c>
      <c r="N62" s="10">
        <f t="shared" si="5"/>
        <v>0.39647024493205446</v>
      </c>
      <c r="O62" s="10"/>
      <c r="P62" s="10"/>
      <c r="Q62" s="10"/>
    </row>
    <row r="63" spans="5:17" x14ac:dyDescent="0.3">
      <c r="E63" s="1">
        <v>3.14</v>
      </c>
      <c r="F63" s="1">
        <v>62</v>
      </c>
      <c r="G63" s="1">
        <f t="shared" si="9"/>
        <v>12070.16</v>
      </c>
      <c r="H63" s="1">
        <f t="shared" si="1"/>
        <v>389.36</v>
      </c>
      <c r="I63" s="1">
        <f t="shared" si="0"/>
        <v>161.29032258064515</v>
      </c>
      <c r="J63" s="1">
        <f t="shared" si="2"/>
        <v>0.41424471589440404</v>
      </c>
      <c r="K63" s="1">
        <v>5000</v>
      </c>
      <c r="L63" s="3">
        <f t="shared" si="3"/>
        <v>24301.610322580644</v>
      </c>
      <c r="M63" s="9">
        <f t="shared" si="4"/>
        <v>2.9360526289626656E-3</v>
      </c>
      <c r="N63" s="10">
        <f t="shared" si="5"/>
        <v>0.3900755635621827</v>
      </c>
      <c r="O63" s="10"/>
      <c r="P63" s="10"/>
      <c r="Q63" s="10"/>
    </row>
    <row r="64" spans="5:17" x14ac:dyDescent="0.3">
      <c r="E64" s="1">
        <v>3.14</v>
      </c>
      <c r="F64" s="1">
        <v>63</v>
      </c>
      <c r="G64" s="1">
        <f t="shared" si="9"/>
        <v>12462.66</v>
      </c>
      <c r="H64" s="1">
        <f t="shared" si="1"/>
        <v>395.64000000000004</v>
      </c>
      <c r="I64" s="1">
        <f t="shared" si="0"/>
        <v>158.73015873015876</v>
      </c>
      <c r="J64" s="1">
        <f t="shared" si="2"/>
        <v>0.40119846003983101</v>
      </c>
      <c r="K64" s="1">
        <v>5000</v>
      </c>
      <c r="L64" s="3">
        <f t="shared" si="3"/>
        <v>25084.050158730159</v>
      </c>
      <c r="M64" s="9">
        <f t="shared" si="4"/>
        <v>2.843584355185811E-3</v>
      </c>
      <c r="N64" s="10">
        <f t="shared" si="5"/>
        <v>0.38388388795008443</v>
      </c>
      <c r="O64" s="10"/>
      <c r="P64" s="10"/>
      <c r="Q64" s="10"/>
    </row>
    <row r="65" spans="5:17" x14ac:dyDescent="0.3">
      <c r="E65" s="1">
        <v>3.14</v>
      </c>
      <c r="F65" s="1">
        <v>64</v>
      </c>
      <c r="G65" s="1">
        <f t="shared" si="9"/>
        <v>12861.44</v>
      </c>
      <c r="H65" s="1">
        <f t="shared" si="1"/>
        <v>401.92</v>
      </c>
      <c r="I65" s="1">
        <f t="shared" si="0"/>
        <v>156.25</v>
      </c>
      <c r="J65" s="1">
        <f t="shared" si="2"/>
        <v>0.38875895700636942</v>
      </c>
      <c r="K65" s="1">
        <v>5000</v>
      </c>
      <c r="L65" s="3">
        <f t="shared" si="3"/>
        <v>25879.13</v>
      </c>
      <c r="M65" s="9">
        <f t="shared" si="4"/>
        <v>2.7554165785479692E-3</v>
      </c>
      <c r="N65" s="10">
        <f t="shared" si="5"/>
        <v>0.37788570220086437</v>
      </c>
      <c r="O65" s="10"/>
      <c r="P65" s="10"/>
      <c r="Q65" s="10"/>
    </row>
    <row r="66" spans="5:17" x14ac:dyDescent="0.3">
      <c r="E66" s="1">
        <v>3.14</v>
      </c>
      <c r="F66" s="1">
        <v>65</v>
      </c>
      <c r="G66" s="1">
        <f t="shared" si="9"/>
        <v>13266.5</v>
      </c>
      <c r="H66" s="1">
        <f t="shared" si="1"/>
        <v>408.2</v>
      </c>
      <c r="I66" s="1">
        <f t="shared" ref="I66:I129" si="10">H66*J66</f>
        <v>153.84615384615384</v>
      </c>
      <c r="J66" s="1">
        <f t="shared" ref="J66:J129" si="11">K66/G66</f>
        <v>0.37688915689895602</v>
      </c>
      <c r="K66" s="1">
        <v>5000</v>
      </c>
      <c r="L66" s="3">
        <f t="shared" si="3"/>
        <v>26686.846153846152</v>
      </c>
      <c r="M66" s="9">
        <f t="shared" si="4"/>
        <v>2.6712866995816523E-3</v>
      </c>
      <c r="N66" s="10">
        <f t="shared" si="5"/>
        <v>0.37207207601315873</v>
      </c>
      <c r="O66" s="10"/>
      <c r="P66" s="10"/>
      <c r="Q66" s="10"/>
    </row>
    <row r="67" spans="5:17" x14ac:dyDescent="0.3">
      <c r="E67" s="1">
        <v>3.14</v>
      </c>
      <c r="F67" s="1">
        <v>66</v>
      </c>
      <c r="G67" s="1">
        <f t="shared" ref="G67:G130" si="12">E67*F67^2</f>
        <v>13677.84</v>
      </c>
      <c r="H67" s="1">
        <f t="shared" ref="H67:H130" si="13">2*E67*F67</f>
        <v>414.48</v>
      </c>
      <c r="I67" s="1">
        <f t="shared" si="10"/>
        <v>151.5151515151515</v>
      </c>
      <c r="J67" s="1">
        <f t="shared" si="11"/>
        <v>0.36555479520158152</v>
      </c>
      <c r="K67" s="1">
        <v>5000</v>
      </c>
      <c r="L67" s="3">
        <f t="shared" ref="L67:L130" si="14">(G67*2)+I67</f>
        <v>27507.195151515152</v>
      </c>
      <c r="M67" s="9">
        <f t="shared" ref="M67:M130" si="15">$C$8*J67*0.85*9.81*10^-6</f>
        <v>2.5909518608201298E-3</v>
      </c>
      <c r="N67" s="10">
        <f t="shared" ref="N67:N130" si="16">M67*F67*10^3/(2*$C$16)</f>
        <v>0.36643462031598978</v>
      </c>
      <c r="O67" s="10"/>
      <c r="P67" s="10"/>
      <c r="Q67" s="10"/>
    </row>
    <row r="68" spans="5:17" x14ac:dyDescent="0.3">
      <c r="E68" s="1">
        <v>3.14</v>
      </c>
      <c r="F68" s="1">
        <v>67</v>
      </c>
      <c r="G68" s="1">
        <f t="shared" si="12"/>
        <v>14095.460000000001</v>
      </c>
      <c r="H68" s="1">
        <f t="shared" si="13"/>
        <v>420.76</v>
      </c>
      <c r="I68" s="1">
        <f t="shared" si="10"/>
        <v>149.25373134328356</v>
      </c>
      <c r="J68" s="1">
        <f t="shared" si="11"/>
        <v>0.35472414522122725</v>
      </c>
      <c r="K68" s="1">
        <v>5000</v>
      </c>
      <c r="L68" s="3">
        <f t="shared" si="14"/>
        <v>28340.173731343286</v>
      </c>
      <c r="M68" s="9">
        <f t="shared" si="15"/>
        <v>2.5141871921881228E-3</v>
      </c>
      <c r="N68" s="10">
        <f t="shared" si="16"/>
        <v>0.36096544687843757</v>
      </c>
      <c r="O68" s="10"/>
      <c r="P68" s="10"/>
      <c r="Q68" s="10"/>
    </row>
    <row r="69" spans="5:17" x14ac:dyDescent="0.3">
      <c r="E69" s="1">
        <v>3.14</v>
      </c>
      <c r="F69" s="1">
        <v>68</v>
      </c>
      <c r="G69" s="1">
        <f t="shared" si="12"/>
        <v>14519.36</v>
      </c>
      <c r="H69" s="1">
        <f t="shared" si="13"/>
        <v>427.04</v>
      </c>
      <c r="I69" s="1">
        <f t="shared" si="10"/>
        <v>147.05882352941177</v>
      </c>
      <c r="J69" s="1">
        <f t="shared" si="11"/>
        <v>0.34436779582571131</v>
      </c>
      <c r="K69" s="1">
        <v>5000</v>
      </c>
      <c r="L69" s="3">
        <f t="shared" si="14"/>
        <v>29185.778823529414</v>
      </c>
      <c r="M69" s="9">
        <f t="shared" si="15"/>
        <v>2.4407842356687897E-3</v>
      </c>
      <c r="N69" s="10">
        <f t="shared" si="16"/>
        <v>0.35565713148316652</v>
      </c>
      <c r="O69" s="10"/>
      <c r="P69" s="10"/>
      <c r="Q69" s="10"/>
    </row>
    <row r="70" spans="5:17" x14ac:dyDescent="0.3">
      <c r="E70" s="1">
        <v>3.14</v>
      </c>
      <c r="F70" s="1">
        <v>69</v>
      </c>
      <c r="G70" s="1">
        <f t="shared" si="12"/>
        <v>14949.54</v>
      </c>
      <c r="H70" s="1">
        <f t="shared" si="13"/>
        <v>433.32</v>
      </c>
      <c r="I70" s="1">
        <f t="shared" si="10"/>
        <v>144.92753623188406</v>
      </c>
      <c r="J70" s="1">
        <f t="shared" si="11"/>
        <v>0.33445845156439596</v>
      </c>
      <c r="K70" s="1">
        <v>5000</v>
      </c>
      <c r="L70" s="3">
        <f t="shared" si="14"/>
        <v>30044.007536231886</v>
      </c>
      <c r="M70" s="9">
        <f t="shared" si="15"/>
        <v>2.3705495286142587E-3</v>
      </c>
      <c r="N70" s="10">
        <f t="shared" si="16"/>
        <v>0.35050268030225107</v>
      </c>
      <c r="O70" s="10"/>
      <c r="P70" s="10"/>
      <c r="Q70" s="10"/>
    </row>
    <row r="71" spans="5:17" x14ac:dyDescent="0.3">
      <c r="E71" s="1">
        <v>3.14</v>
      </c>
      <c r="F71" s="1">
        <v>70</v>
      </c>
      <c r="G71" s="1">
        <f t="shared" si="12"/>
        <v>15386</v>
      </c>
      <c r="H71" s="1">
        <f t="shared" si="13"/>
        <v>439.6</v>
      </c>
      <c r="I71" s="1">
        <f t="shared" si="10"/>
        <v>142.85714285714286</v>
      </c>
      <c r="J71" s="1">
        <f t="shared" si="11"/>
        <v>0.3249707526322631</v>
      </c>
      <c r="K71" s="1">
        <v>5000</v>
      </c>
      <c r="L71" s="3">
        <f t="shared" si="14"/>
        <v>30914.857142857141</v>
      </c>
      <c r="M71" s="9">
        <f t="shared" si="15"/>
        <v>2.3033033277005074E-3</v>
      </c>
      <c r="N71" s="10">
        <f t="shared" si="16"/>
        <v>0.3454954991550761</v>
      </c>
      <c r="O71" s="10"/>
      <c r="P71" s="10"/>
      <c r="Q71" s="10"/>
    </row>
    <row r="72" spans="5:17" x14ac:dyDescent="0.3">
      <c r="E72" s="1">
        <v>3.14</v>
      </c>
      <c r="F72" s="1">
        <v>71</v>
      </c>
      <c r="G72" s="1">
        <f t="shared" si="12"/>
        <v>15828.74</v>
      </c>
      <c r="H72" s="1">
        <f t="shared" si="13"/>
        <v>445.88</v>
      </c>
      <c r="I72" s="1">
        <f t="shared" si="10"/>
        <v>140.84507042253523</v>
      </c>
      <c r="J72" s="1">
        <f t="shared" si="11"/>
        <v>0.31588111245746664</v>
      </c>
      <c r="K72" s="1">
        <v>5000</v>
      </c>
      <c r="L72" s="3">
        <f t="shared" si="14"/>
        <v>31798.325070422536</v>
      </c>
      <c r="M72" s="9">
        <f t="shared" si="15"/>
        <v>2.2388784577925978E-3</v>
      </c>
      <c r="N72" s="10">
        <f t="shared" si="16"/>
        <v>0.3406293653641595</v>
      </c>
      <c r="O72" s="10"/>
      <c r="P72" s="10"/>
      <c r="Q72" s="10"/>
    </row>
    <row r="73" spans="5:17" x14ac:dyDescent="0.3">
      <c r="E73" s="1">
        <v>3.14</v>
      </c>
      <c r="F73" s="1">
        <v>72</v>
      </c>
      <c r="G73" s="1">
        <f t="shared" si="12"/>
        <v>16277.76</v>
      </c>
      <c r="H73" s="1">
        <f t="shared" si="13"/>
        <v>452.16</v>
      </c>
      <c r="I73" s="1">
        <f t="shared" si="10"/>
        <v>138.88888888888889</v>
      </c>
      <c r="J73" s="1">
        <f t="shared" si="11"/>
        <v>0.30716757096799557</v>
      </c>
      <c r="K73" s="1">
        <v>5000</v>
      </c>
      <c r="L73" s="3">
        <f t="shared" si="14"/>
        <v>32694.408888888891</v>
      </c>
      <c r="M73" s="9">
        <f t="shared" si="15"/>
        <v>2.1771192719391365E-3</v>
      </c>
      <c r="N73" s="10">
        <f t="shared" si="16"/>
        <v>0.33589840195632392</v>
      </c>
      <c r="O73" s="10"/>
      <c r="P73" s="10"/>
      <c r="Q73" s="10"/>
    </row>
    <row r="74" spans="5:17" x14ac:dyDescent="0.3">
      <c r="E74" s="1">
        <v>3.14</v>
      </c>
      <c r="F74" s="1">
        <v>73</v>
      </c>
      <c r="G74" s="1">
        <f t="shared" si="12"/>
        <v>16733.060000000001</v>
      </c>
      <c r="H74" s="1">
        <f t="shared" si="13"/>
        <v>458.44</v>
      </c>
      <c r="I74" s="1">
        <f t="shared" si="10"/>
        <v>136.98630136986301</v>
      </c>
      <c r="J74" s="1">
        <f t="shared" si="11"/>
        <v>0.2988096618311295</v>
      </c>
      <c r="K74" s="1">
        <v>5000</v>
      </c>
      <c r="L74" s="3">
        <f t="shared" si="14"/>
        <v>33603.106301369866</v>
      </c>
      <c r="M74" s="9">
        <f t="shared" si="15"/>
        <v>2.1178807104020418E-3</v>
      </c>
      <c r="N74" s="10">
        <f t="shared" si="16"/>
        <v>0.33129705398431936</v>
      </c>
      <c r="O74" s="10"/>
      <c r="P74" s="10"/>
      <c r="Q74" s="10"/>
    </row>
    <row r="75" spans="5:17" x14ac:dyDescent="0.3">
      <c r="E75" s="1">
        <v>3.14</v>
      </c>
      <c r="F75" s="1">
        <v>74</v>
      </c>
      <c r="G75" s="1">
        <f t="shared" si="12"/>
        <v>17194.64</v>
      </c>
      <c r="H75" s="1">
        <f t="shared" si="13"/>
        <v>464.72</v>
      </c>
      <c r="I75" s="1">
        <f t="shared" si="10"/>
        <v>135.13513513513516</v>
      </c>
      <c r="J75" s="1">
        <f t="shared" si="11"/>
        <v>0.29078829216546553</v>
      </c>
      <c r="K75" s="1">
        <v>5000</v>
      </c>
      <c r="L75" s="3">
        <f t="shared" si="14"/>
        <v>34524.415135135132</v>
      </c>
      <c r="M75" s="9">
        <f t="shared" si="15"/>
        <v>2.0610274480884739E-3</v>
      </c>
      <c r="N75" s="10">
        <f t="shared" si="16"/>
        <v>0.32682006676831515</v>
      </c>
      <c r="O75" s="10"/>
      <c r="P75" s="10"/>
      <c r="Q75" s="10"/>
    </row>
    <row r="76" spans="5:17" x14ac:dyDescent="0.3">
      <c r="E76" s="1">
        <v>3.14</v>
      </c>
      <c r="F76" s="1">
        <v>75</v>
      </c>
      <c r="G76" s="1">
        <f t="shared" si="12"/>
        <v>17662.5</v>
      </c>
      <c r="H76" s="1">
        <f t="shared" si="13"/>
        <v>471</v>
      </c>
      <c r="I76" s="1">
        <f t="shared" si="10"/>
        <v>133.33333333333334</v>
      </c>
      <c r="J76" s="1">
        <f t="shared" si="11"/>
        <v>0.28308563340410475</v>
      </c>
      <c r="K76" s="1">
        <v>5000</v>
      </c>
      <c r="L76" s="3">
        <f t="shared" si="14"/>
        <v>35458.333333333336</v>
      </c>
      <c r="M76" s="9">
        <f t="shared" si="15"/>
        <v>2.0064331210191081E-3</v>
      </c>
      <c r="N76" s="10">
        <f t="shared" si="16"/>
        <v>0.32246246587807093</v>
      </c>
      <c r="O76" s="10"/>
      <c r="P76" s="10"/>
      <c r="Q76" s="10"/>
    </row>
    <row r="77" spans="5:17" x14ac:dyDescent="0.3">
      <c r="E77" s="1">
        <v>3.14</v>
      </c>
      <c r="F77" s="1">
        <v>76</v>
      </c>
      <c r="G77" s="1">
        <f t="shared" si="12"/>
        <v>18136.64</v>
      </c>
      <c r="H77" s="1">
        <f t="shared" si="13"/>
        <v>477.28000000000003</v>
      </c>
      <c r="I77" s="1">
        <f t="shared" si="10"/>
        <v>131.57894736842107</v>
      </c>
      <c r="J77" s="1">
        <f t="shared" si="11"/>
        <v>0.27568502214302099</v>
      </c>
      <c r="K77" s="1">
        <v>5000</v>
      </c>
      <c r="L77" s="3">
        <f t="shared" si="14"/>
        <v>36404.858947368419</v>
      </c>
      <c r="M77" s="9">
        <f t="shared" si="15"/>
        <v>1.9539796235686436E-3</v>
      </c>
      <c r="N77" s="10">
        <f t="shared" si="16"/>
        <v>0.31821953869546477</v>
      </c>
      <c r="O77" s="10"/>
      <c r="P77" s="10"/>
      <c r="Q77" s="10"/>
    </row>
    <row r="78" spans="5:17" x14ac:dyDescent="0.3">
      <c r="E78" s="1">
        <v>3.14</v>
      </c>
      <c r="F78" s="1">
        <v>77</v>
      </c>
      <c r="G78" s="1">
        <f t="shared" si="12"/>
        <v>18617.060000000001</v>
      </c>
      <c r="H78" s="1">
        <f t="shared" si="13"/>
        <v>483.56</v>
      </c>
      <c r="I78" s="1">
        <f t="shared" si="10"/>
        <v>129.87012987012986</v>
      </c>
      <c r="J78" s="1">
        <f t="shared" si="11"/>
        <v>0.26857086994401907</v>
      </c>
      <c r="K78" s="1">
        <v>5000</v>
      </c>
      <c r="L78" s="3">
        <f t="shared" si="14"/>
        <v>37363.99012987013</v>
      </c>
      <c r="M78" s="9">
        <f t="shared" si="15"/>
        <v>1.9035564691739725E-3</v>
      </c>
      <c r="N78" s="10">
        <f t="shared" si="16"/>
        <v>0.31408681741370542</v>
      </c>
      <c r="O78" s="10"/>
      <c r="P78" s="10"/>
      <c r="Q78" s="10"/>
    </row>
    <row r="79" spans="5:17" x14ac:dyDescent="0.3">
      <c r="E79" s="1">
        <v>3.14</v>
      </c>
      <c r="F79" s="1">
        <v>78</v>
      </c>
      <c r="G79" s="1">
        <f t="shared" si="12"/>
        <v>19103.760000000002</v>
      </c>
      <c r="H79" s="1">
        <f t="shared" si="13"/>
        <v>489.84000000000003</v>
      </c>
      <c r="I79" s="1">
        <f t="shared" si="10"/>
        <v>128.2051282051282</v>
      </c>
      <c r="J79" s="1">
        <f t="shared" si="11"/>
        <v>0.26172858117983056</v>
      </c>
      <c r="K79" s="1">
        <v>5000</v>
      </c>
      <c r="L79" s="3">
        <f t="shared" si="14"/>
        <v>38335.725128205129</v>
      </c>
      <c r="M79" s="9">
        <f t="shared" si="15"/>
        <v>1.8550602080428145E-3</v>
      </c>
      <c r="N79" s="10">
        <f t="shared" si="16"/>
        <v>0.31006006334429892</v>
      </c>
      <c r="O79" s="10"/>
      <c r="P79" s="10"/>
      <c r="Q79" s="10"/>
    </row>
    <row r="80" spans="5:17" x14ac:dyDescent="0.3">
      <c r="E80" s="1">
        <v>3.14</v>
      </c>
      <c r="F80" s="1">
        <v>79</v>
      </c>
      <c r="G80" s="1">
        <f t="shared" si="12"/>
        <v>19596.740000000002</v>
      </c>
      <c r="H80" s="1">
        <f t="shared" si="13"/>
        <v>496.12</v>
      </c>
      <c r="I80" s="1">
        <f t="shared" si="10"/>
        <v>126.58227848101265</v>
      </c>
      <c r="J80" s="1">
        <f t="shared" si="11"/>
        <v>0.25514447811217578</v>
      </c>
      <c r="K80" s="1">
        <v>5000</v>
      </c>
      <c r="L80" s="3">
        <f t="shared" si="14"/>
        <v>39320.062278481018</v>
      </c>
      <c r="M80" s="9">
        <f t="shared" si="15"/>
        <v>1.8083938961276208E-3</v>
      </c>
      <c r="N80" s="10">
        <f t="shared" si="16"/>
        <v>0.30613525241589007</v>
      </c>
      <c r="O80" s="10"/>
      <c r="P80" s="10"/>
      <c r="Q80" s="10"/>
    </row>
    <row r="81" spans="5:17" x14ac:dyDescent="0.3">
      <c r="E81" s="1">
        <v>3.14</v>
      </c>
      <c r="F81" s="1">
        <v>80</v>
      </c>
      <c r="G81" s="1">
        <f t="shared" si="12"/>
        <v>20096</v>
      </c>
      <c r="H81" s="1">
        <f t="shared" si="13"/>
        <v>502.40000000000003</v>
      </c>
      <c r="I81" s="1">
        <f t="shared" si="10"/>
        <v>125</v>
      </c>
      <c r="J81" s="1">
        <f t="shared" si="11"/>
        <v>0.24880573248407642</v>
      </c>
      <c r="K81" s="1">
        <v>5000</v>
      </c>
      <c r="L81" s="3">
        <f t="shared" si="14"/>
        <v>40317</v>
      </c>
      <c r="M81" s="9">
        <f t="shared" si="15"/>
        <v>1.7634666102707005E-3</v>
      </c>
      <c r="N81" s="10">
        <f t="shared" si="16"/>
        <v>0.30230856176069149</v>
      </c>
      <c r="O81" s="10"/>
      <c r="P81" s="10"/>
      <c r="Q81" s="10"/>
    </row>
    <row r="82" spans="5:17" x14ac:dyDescent="0.3">
      <c r="E82" s="1">
        <v>3.14</v>
      </c>
      <c r="F82" s="1">
        <v>81</v>
      </c>
      <c r="G82" s="1">
        <f t="shared" si="12"/>
        <v>20601.54</v>
      </c>
      <c r="H82" s="1">
        <f t="shared" si="13"/>
        <v>508.68</v>
      </c>
      <c r="I82" s="1">
        <f t="shared" si="10"/>
        <v>123.45679012345678</v>
      </c>
      <c r="J82" s="1">
        <f t="shared" si="11"/>
        <v>0.24270030298705825</v>
      </c>
      <c r="K82" s="1">
        <v>5000</v>
      </c>
      <c r="L82" s="3">
        <f t="shared" si="14"/>
        <v>41326.536790123457</v>
      </c>
      <c r="M82" s="9">
        <f t="shared" si="15"/>
        <v>1.7201930049889475E-3</v>
      </c>
      <c r="N82" s="10">
        <f t="shared" si="16"/>
        <v>0.2985763572945101</v>
      </c>
      <c r="O82" s="10"/>
      <c r="P82" s="10"/>
      <c r="Q82" s="10"/>
    </row>
    <row r="83" spans="5:17" x14ac:dyDescent="0.3">
      <c r="E83" s="1">
        <v>3.14</v>
      </c>
      <c r="F83" s="1">
        <v>82</v>
      </c>
      <c r="G83" s="1">
        <f t="shared" si="12"/>
        <v>21113.360000000001</v>
      </c>
      <c r="H83" s="1">
        <f t="shared" si="13"/>
        <v>514.96</v>
      </c>
      <c r="I83" s="1">
        <f t="shared" si="10"/>
        <v>121.95121951219512</v>
      </c>
      <c r="J83" s="1">
        <f t="shared" si="11"/>
        <v>0.2368168780336242</v>
      </c>
      <c r="K83" s="1">
        <v>5000</v>
      </c>
      <c r="L83" s="3">
        <f t="shared" si="14"/>
        <v>42348.671219512195</v>
      </c>
      <c r="M83" s="9">
        <f t="shared" si="15"/>
        <v>1.6784929068608689E-3</v>
      </c>
      <c r="N83" s="10">
        <f t="shared" si="16"/>
        <v>0.2949351822055527</v>
      </c>
      <c r="O83" s="10"/>
      <c r="P83" s="10"/>
      <c r="Q83" s="10"/>
    </row>
    <row r="84" spans="5:17" x14ac:dyDescent="0.3">
      <c r="E84" s="1">
        <v>3.14</v>
      </c>
      <c r="F84" s="1">
        <v>83</v>
      </c>
      <c r="G84" s="1">
        <f t="shared" si="12"/>
        <v>21631.46</v>
      </c>
      <c r="H84" s="1">
        <f t="shared" si="13"/>
        <v>521.24</v>
      </c>
      <c r="I84" s="1">
        <f t="shared" si="10"/>
        <v>120.48192771084338</v>
      </c>
      <c r="J84" s="1">
        <f t="shared" si="11"/>
        <v>0.23114482332676575</v>
      </c>
      <c r="K84" s="1">
        <v>5000</v>
      </c>
      <c r="L84" s="3">
        <f t="shared" si="14"/>
        <v>43383.401927710838</v>
      </c>
      <c r="M84" s="9">
        <f t="shared" si="15"/>
        <v>1.6382909429137008E-3</v>
      </c>
      <c r="N84" s="10">
        <f t="shared" si="16"/>
        <v>0.29138174627536534</v>
      </c>
      <c r="O84" s="10"/>
      <c r="P84" s="10"/>
      <c r="Q84" s="10"/>
    </row>
    <row r="85" spans="5:17" x14ac:dyDescent="0.3">
      <c r="E85" s="1">
        <v>3.14</v>
      </c>
      <c r="F85" s="1">
        <v>84</v>
      </c>
      <c r="G85" s="1">
        <f t="shared" si="12"/>
        <v>22155.84</v>
      </c>
      <c r="H85" s="1">
        <f t="shared" si="13"/>
        <v>527.52</v>
      </c>
      <c r="I85" s="1">
        <f t="shared" si="10"/>
        <v>119.04761904761904</v>
      </c>
      <c r="J85" s="1">
        <f t="shared" si="11"/>
        <v>0.22567413377240492</v>
      </c>
      <c r="K85" s="1">
        <v>5000</v>
      </c>
      <c r="L85" s="3">
        <f t="shared" si="14"/>
        <v>44430.727619047619</v>
      </c>
      <c r="M85" s="9">
        <f t="shared" si="15"/>
        <v>1.5995161997920185E-3</v>
      </c>
      <c r="N85" s="10">
        <f t="shared" si="16"/>
        <v>0.28791291596256335</v>
      </c>
      <c r="O85" s="10"/>
      <c r="P85" s="10"/>
      <c r="Q85" s="10"/>
    </row>
    <row r="86" spans="5:17" x14ac:dyDescent="0.3">
      <c r="E86" s="1">
        <v>3.14</v>
      </c>
      <c r="F86" s="1">
        <v>85</v>
      </c>
      <c r="G86" s="1">
        <f t="shared" si="12"/>
        <v>22686.5</v>
      </c>
      <c r="H86" s="1">
        <f t="shared" si="13"/>
        <v>533.80000000000007</v>
      </c>
      <c r="I86" s="1">
        <f t="shared" si="10"/>
        <v>117.64705882352943</v>
      </c>
      <c r="J86" s="1">
        <f t="shared" si="11"/>
        <v>0.22039538932845526</v>
      </c>
      <c r="K86" s="1">
        <v>5000</v>
      </c>
      <c r="L86" s="3">
        <f t="shared" si="14"/>
        <v>45490.647058823532</v>
      </c>
      <c r="M86" s="9">
        <f t="shared" si="15"/>
        <v>1.5621019108280256E-3</v>
      </c>
      <c r="N86" s="10">
        <f t="shared" si="16"/>
        <v>0.2845257051865332</v>
      </c>
      <c r="O86" s="10"/>
      <c r="P86" s="10"/>
      <c r="Q86" s="10"/>
    </row>
    <row r="87" spans="5:17" x14ac:dyDescent="0.3">
      <c r="E87" s="1">
        <v>3.14</v>
      </c>
      <c r="F87" s="1">
        <v>86</v>
      </c>
      <c r="G87" s="1">
        <f t="shared" si="12"/>
        <v>23223.440000000002</v>
      </c>
      <c r="H87" s="1">
        <f t="shared" si="13"/>
        <v>540.08000000000004</v>
      </c>
      <c r="I87" s="1">
        <f t="shared" si="10"/>
        <v>116.27906976744185</v>
      </c>
      <c r="J87" s="1">
        <f t="shared" si="11"/>
        <v>0.21529971442645876</v>
      </c>
      <c r="K87" s="1">
        <v>5000</v>
      </c>
      <c r="L87" s="3">
        <f t="shared" si="14"/>
        <v>46563.159069767447</v>
      </c>
      <c r="M87" s="9">
        <f t="shared" si="15"/>
        <v>1.5259851684332724E-3</v>
      </c>
      <c r="N87" s="10">
        <f t="shared" si="16"/>
        <v>0.28121726675413167</v>
      </c>
      <c r="O87" s="10"/>
      <c r="P87" s="10"/>
      <c r="Q87" s="10"/>
    </row>
    <row r="88" spans="5:17" x14ac:dyDescent="0.3">
      <c r="E88" s="1">
        <v>3.14</v>
      </c>
      <c r="F88" s="1">
        <v>87</v>
      </c>
      <c r="G88" s="1">
        <f t="shared" si="12"/>
        <v>23766.66</v>
      </c>
      <c r="H88" s="1">
        <f t="shared" si="13"/>
        <v>546.36</v>
      </c>
      <c r="I88" s="1">
        <f t="shared" si="10"/>
        <v>114.94252873563218</v>
      </c>
      <c r="J88" s="1">
        <f t="shared" si="11"/>
        <v>0.21037874063919793</v>
      </c>
      <c r="K88" s="1">
        <v>5000</v>
      </c>
      <c r="L88" s="3">
        <f t="shared" si="14"/>
        <v>47648.262528735635</v>
      </c>
      <c r="M88" s="9">
        <f t="shared" si="15"/>
        <v>1.4911066594969593E-3</v>
      </c>
      <c r="N88" s="10">
        <f t="shared" si="16"/>
        <v>0.2779848843776474</v>
      </c>
      <c r="O88" s="10"/>
      <c r="P88" s="10"/>
      <c r="Q88" s="10"/>
    </row>
    <row r="89" spans="5:17" x14ac:dyDescent="0.3">
      <c r="E89" s="1">
        <v>3.14</v>
      </c>
      <c r="F89" s="1">
        <v>88</v>
      </c>
      <c r="G89" s="1">
        <f t="shared" si="12"/>
        <v>24316.16</v>
      </c>
      <c r="H89" s="1">
        <f t="shared" si="13"/>
        <v>552.64</v>
      </c>
      <c r="I89" s="1">
        <f t="shared" si="10"/>
        <v>113.63636363636364</v>
      </c>
      <c r="J89" s="1">
        <f t="shared" si="11"/>
        <v>0.20562457230088962</v>
      </c>
      <c r="K89" s="1">
        <v>5000</v>
      </c>
      <c r="L89" s="3">
        <f t="shared" si="14"/>
        <v>48745.95636363636</v>
      </c>
      <c r="M89" s="9">
        <f t="shared" si="15"/>
        <v>1.4574104217113229E-3</v>
      </c>
      <c r="N89" s="10">
        <f t="shared" si="16"/>
        <v>0.27482596523699232</v>
      </c>
      <c r="O89" s="10"/>
      <c r="P89" s="10"/>
      <c r="Q89" s="10"/>
    </row>
    <row r="90" spans="5:17" x14ac:dyDescent="0.3">
      <c r="E90" s="1">
        <v>3.14</v>
      </c>
      <c r="F90" s="1">
        <v>89</v>
      </c>
      <c r="G90" s="1">
        <f t="shared" si="12"/>
        <v>24871.940000000002</v>
      </c>
      <c r="H90" s="1">
        <f t="shared" si="13"/>
        <v>558.92000000000007</v>
      </c>
      <c r="I90" s="1">
        <f t="shared" si="10"/>
        <v>112.35955056179776</v>
      </c>
      <c r="J90" s="1">
        <f t="shared" si="11"/>
        <v>0.20102975481606983</v>
      </c>
      <c r="K90" s="1">
        <v>5000</v>
      </c>
      <c r="L90" s="3">
        <f t="shared" si="14"/>
        <v>49856.239550561804</v>
      </c>
      <c r="M90" s="9">
        <f t="shared" si="15"/>
        <v>1.4248436189537282E-3</v>
      </c>
      <c r="N90" s="10">
        <f t="shared" si="16"/>
        <v>0.27173803304331812</v>
      </c>
      <c r="O90" s="10"/>
      <c r="P90" s="10"/>
      <c r="Q90" s="10"/>
    </row>
    <row r="91" spans="5:17" x14ac:dyDescent="0.3">
      <c r="E91" s="1">
        <v>3.14</v>
      </c>
      <c r="F91" s="1">
        <v>90</v>
      </c>
      <c r="G91" s="1">
        <f t="shared" si="12"/>
        <v>25434</v>
      </c>
      <c r="H91" s="1">
        <f t="shared" si="13"/>
        <v>565.20000000000005</v>
      </c>
      <c r="I91" s="1">
        <f t="shared" si="10"/>
        <v>111.11111111111113</v>
      </c>
      <c r="J91" s="1">
        <f t="shared" si="11"/>
        <v>0.19658724541951719</v>
      </c>
      <c r="K91" s="1">
        <v>5000</v>
      </c>
      <c r="L91" s="3">
        <f t="shared" si="14"/>
        <v>50979.111111111109</v>
      </c>
      <c r="M91" s="9">
        <f t="shared" si="15"/>
        <v>1.3933563340410473E-3</v>
      </c>
      <c r="N91" s="10">
        <f t="shared" si="16"/>
        <v>0.2687187215650591</v>
      </c>
      <c r="O91" s="10"/>
      <c r="P91" s="10"/>
      <c r="Q91" s="10"/>
    </row>
    <row r="92" spans="5:17" x14ac:dyDescent="0.3">
      <c r="E92" s="1">
        <v>3.14</v>
      </c>
      <c r="F92" s="1">
        <v>91</v>
      </c>
      <c r="G92" s="1">
        <f t="shared" si="12"/>
        <v>26002.34</v>
      </c>
      <c r="H92" s="1">
        <f t="shared" si="13"/>
        <v>571.48</v>
      </c>
      <c r="I92" s="1">
        <f t="shared" si="10"/>
        <v>109.8901098901099</v>
      </c>
      <c r="J92" s="1">
        <f t="shared" si="11"/>
        <v>0.19229038617293676</v>
      </c>
      <c r="K92" s="1">
        <v>5000</v>
      </c>
      <c r="L92" s="3">
        <f t="shared" si="14"/>
        <v>52114.570109890112</v>
      </c>
      <c r="M92" s="9">
        <f t="shared" si="15"/>
        <v>1.3629013773375782E-3</v>
      </c>
      <c r="N92" s="10">
        <f t="shared" si="16"/>
        <v>0.26576576858082773</v>
      </c>
      <c r="O92" s="10"/>
      <c r="P92" s="10"/>
      <c r="Q92" s="10"/>
    </row>
    <row r="93" spans="5:17" x14ac:dyDescent="0.3">
      <c r="E93" s="1">
        <v>3.14</v>
      </c>
      <c r="F93" s="1">
        <v>92</v>
      </c>
      <c r="G93" s="1">
        <f t="shared" si="12"/>
        <v>26576.960000000003</v>
      </c>
      <c r="H93" s="1">
        <f t="shared" si="13"/>
        <v>577.76</v>
      </c>
      <c r="I93" s="1">
        <f t="shared" si="10"/>
        <v>108.69565217391303</v>
      </c>
      <c r="J93" s="1">
        <f t="shared" si="11"/>
        <v>0.18813287900497272</v>
      </c>
      <c r="K93" s="1">
        <v>5000</v>
      </c>
      <c r="L93" s="3">
        <f t="shared" si="14"/>
        <v>53262.615652173918</v>
      </c>
      <c r="M93" s="9">
        <f t="shared" si="15"/>
        <v>1.3334341098455201E-3</v>
      </c>
      <c r="N93" s="10">
        <f t="shared" si="16"/>
        <v>0.26287701022668825</v>
      </c>
      <c r="O93" s="10"/>
      <c r="P93" s="10"/>
      <c r="Q93" s="10"/>
    </row>
    <row r="94" spans="5:17" x14ac:dyDescent="0.3">
      <c r="E94" s="1">
        <v>3.14</v>
      </c>
      <c r="F94" s="1">
        <v>93</v>
      </c>
      <c r="G94" s="1">
        <f t="shared" si="12"/>
        <v>27157.86</v>
      </c>
      <c r="H94" s="1">
        <f t="shared" si="13"/>
        <v>584.04000000000008</v>
      </c>
      <c r="I94" s="1">
        <f t="shared" si="10"/>
        <v>107.52688172043013</v>
      </c>
      <c r="J94" s="1">
        <f t="shared" si="11"/>
        <v>0.18410876261973513</v>
      </c>
      <c r="K94" s="1">
        <v>5000</v>
      </c>
      <c r="L94" s="3">
        <f t="shared" si="14"/>
        <v>54423.246881720428</v>
      </c>
      <c r="M94" s="9">
        <f t="shared" si="15"/>
        <v>1.3049122795389622E-3</v>
      </c>
      <c r="N94" s="10">
        <f t="shared" si="16"/>
        <v>0.26005037570812173</v>
      </c>
      <c r="O94" s="10"/>
      <c r="P94" s="10"/>
      <c r="Q94" s="10"/>
    </row>
    <row r="95" spans="5:17" x14ac:dyDescent="0.3">
      <c r="E95" s="1">
        <v>3.14</v>
      </c>
      <c r="F95" s="1">
        <v>94</v>
      </c>
      <c r="G95" s="1">
        <f t="shared" si="12"/>
        <v>27745.040000000001</v>
      </c>
      <c r="H95" s="1">
        <f t="shared" si="13"/>
        <v>590.32000000000005</v>
      </c>
      <c r="I95" s="1">
        <f t="shared" si="10"/>
        <v>106.38297872340426</v>
      </c>
      <c r="J95" s="1">
        <f t="shared" si="11"/>
        <v>0.18021239111567328</v>
      </c>
      <c r="K95" s="1">
        <v>5000</v>
      </c>
      <c r="L95" s="3">
        <f t="shared" si="14"/>
        <v>55596.462978723408</v>
      </c>
      <c r="M95" s="9">
        <f t="shared" si="15"/>
        <v>1.2772958698203352E-3</v>
      </c>
      <c r="N95" s="10">
        <f t="shared" si="16"/>
        <v>0.25728388234952465</v>
      </c>
      <c r="O95" s="10"/>
      <c r="P95" s="10"/>
      <c r="Q95" s="10"/>
    </row>
    <row r="96" spans="5:17" x14ac:dyDescent="0.3">
      <c r="E96" s="1">
        <v>3.14</v>
      </c>
      <c r="F96" s="1">
        <v>95</v>
      </c>
      <c r="G96" s="1">
        <f t="shared" si="12"/>
        <v>28338.5</v>
      </c>
      <c r="H96" s="1">
        <f t="shared" si="13"/>
        <v>596.6</v>
      </c>
      <c r="I96" s="1">
        <f t="shared" si="10"/>
        <v>105.26315789473684</v>
      </c>
      <c r="J96" s="1">
        <f t="shared" si="11"/>
        <v>0.17643841417153341</v>
      </c>
      <c r="K96" s="1">
        <v>5000</v>
      </c>
      <c r="L96" s="3">
        <f t="shared" si="14"/>
        <v>56782.26315789474</v>
      </c>
      <c r="M96" s="9">
        <f t="shared" si="15"/>
        <v>1.2505469590839318E-3</v>
      </c>
      <c r="N96" s="10">
        <f t="shared" si="16"/>
        <v>0.25457563095637181</v>
      </c>
      <c r="O96" s="10"/>
      <c r="P96" s="10"/>
      <c r="Q96" s="10"/>
    </row>
    <row r="97" spans="5:17" x14ac:dyDescent="0.3">
      <c r="E97" s="1">
        <v>3.14</v>
      </c>
      <c r="F97" s="1">
        <v>96</v>
      </c>
      <c r="G97" s="1">
        <f t="shared" si="12"/>
        <v>28938.240000000002</v>
      </c>
      <c r="H97" s="1">
        <f t="shared" si="13"/>
        <v>602.88</v>
      </c>
      <c r="I97" s="1">
        <f t="shared" si="10"/>
        <v>104.16666666666667</v>
      </c>
      <c r="J97" s="1">
        <f t="shared" si="11"/>
        <v>0.17278175866949752</v>
      </c>
      <c r="K97" s="1">
        <v>5000</v>
      </c>
      <c r="L97" s="3">
        <f t="shared" si="14"/>
        <v>57980.646666666667</v>
      </c>
      <c r="M97" s="9">
        <f t="shared" si="15"/>
        <v>1.2246295904657643E-3</v>
      </c>
      <c r="N97" s="10">
        <f t="shared" si="16"/>
        <v>0.25192380146724291</v>
      </c>
      <c r="O97" s="10"/>
      <c r="P97" s="10"/>
      <c r="Q97" s="10"/>
    </row>
    <row r="98" spans="5:17" x14ac:dyDescent="0.3">
      <c r="E98" s="1">
        <v>3.14</v>
      </c>
      <c r="F98" s="1">
        <v>97</v>
      </c>
      <c r="G98" s="1">
        <f t="shared" si="12"/>
        <v>29544.260000000002</v>
      </c>
      <c r="H98" s="1">
        <f t="shared" si="13"/>
        <v>609.16</v>
      </c>
      <c r="I98" s="1">
        <f t="shared" si="10"/>
        <v>103.09278350515463</v>
      </c>
      <c r="J98" s="1">
        <f t="shared" si="11"/>
        <v>0.16923761163759052</v>
      </c>
      <c r="K98" s="1">
        <v>5000</v>
      </c>
      <c r="L98" s="3">
        <f t="shared" si="14"/>
        <v>59191.612783505159</v>
      </c>
      <c r="M98" s="9">
        <f t="shared" si="15"/>
        <v>1.1995096509440412E-3</v>
      </c>
      <c r="N98" s="10">
        <f t="shared" si="16"/>
        <v>0.24932664887479714</v>
      </c>
      <c r="O98" s="10"/>
      <c r="P98" s="10"/>
      <c r="Q98" s="10"/>
    </row>
    <row r="99" spans="5:17" x14ac:dyDescent="0.3">
      <c r="E99" s="1">
        <v>3.14</v>
      </c>
      <c r="F99" s="1">
        <v>98</v>
      </c>
      <c r="G99" s="1">
        <f t="shared" si="12"/>
        <v>30156.560000000001</v>
      </c>
      <c r="H99" s="1">
        <f t="shared" si="13"/>
        <v>615.44000000000005</v>
      </c>
      <c r="I99" s="1">
        <f t="shared" si="10"/>
        <v>102.04081632653062</v>
      </c>
      <c r="J99" s="1">
        <f t="shared" si="11"/>
        <v>0.16580140440421587</v>
      </c>
      <c r="K99" s="1">
        <v>5000</v>
      </c>
      <c r="L99" s="3">
        <f t="shared" si="14"/>
        <v>60415.160816326534</v>
      </c>
      <c r="M99" s="9">
        <f t="shared" si="15"/>
        <v>1.175154759030871E-3</v>
      </c>
      <c r="N99" s="10">
        <f t="shared" si="16"/>
        <v>0.24678249939648289</v>
      </c>
      <c r="O99" s="10"/>
      <c r="P99" s="10"/>
      <c r="Q99" s="10"/>
    </row>
    <row r="100" spans="5:17" x14ac:dyDescent="0.3">
      <c r="E100" s="1">
        <v>3.14</v>
      </c>
      <c r="F100" s="1">
        <v>99</v>
      </c>
      <c r="G100" s="1">
        <f t="shared" si="12"/>
        <v>30775.14</v>
      </c>
      <c r="H100" s="1">
        <f t="shared" si="13"/>
        <v>621.72</v>
      </c>
      <c r="I100" s="1">
        <f t="shared" si="10"/>
        <v>101.01010101010101</v>
      </c>
      <c r="J100" s="1">
        <f t="shared" si="11"/>
        <v>0.16246879786736956</v>
      </c>
      <c r="K100" s="1">
        <v>5000</v>
      </c>
      <c r="L100" s="3">
        <f t="shared" si="14"/>
        <v>61651.290101010098</v>
      </c>
      <c r="M100" s="9">
        <f t="shared" si="15"/>
        <v>1.1515341603645019E-3</v>
      </c>
      <c r="N100" s="10">
        <f t="shared" si="16"/>
        <v>0.24428974687732646</v>
      </c>
      <c r="O100" s="10"/>
      <c r="P100" s="10"/>
      <c r="Q100" s="10"/>
    </row>
    <row r="101" spans="5:17" x14ac:dyDescent="0.3">
      <c r="E101" s="1">
        <v>3.14</v>
      </c>
      <c r="F101" s="1">
        <v>100</v>
      </c>
      <c r="G101" s="1">
        <f t="shared" si="12"/>
        <v>31400</v>
      </c>
      <c r="H101" s="1">
        <f t="shared" si="13"/>
        <v>628</v>
      </c>
      <c r="I101" s="1">
        <f t="shared" si="10"/>
        <v>100</v>
      </c>
      <c r="J101" s="1">
        <f t="shared" si="11"/>
        <v>0.15923566878980891</v>
      </c>
      <c r="K101" s="1">
        <v>5000</v>
      </c>
      <c r="L101" s="3">
        <f t="shared" si="14"/>
        <v>62900</v>
      </c>
      <c r="M101" s="9">
        <f t="shared" si="15"/>
        <v>1.1286186305732482E-3</v>
      </c>
      <c r="N101" s="10">
        <f t="shared" si="16"/>
        <v>0.24184684940855319</v>
      </c>
      <c r="O101" s="10"/>
      <c r="P101" s="10"/>
      <c r="Q101" s="10"/>
    </row>
    <row r="102" spans="5:17" x14ac:dyDescent="0.3">
      <c r="E102" s="1">
        <v>3.14</v>
      </c>
      <c r="F102" s="1">
        <v>101</v>
      </c>
      <c r="G102" s="1">
        <f t="shared" si="12"/>
        <v>32031.140000000003</v>
      </c>
      <c r="H102" s="1">
        <f t="shared" si="13"/>
        <v>634.28</v>
      </c>
      <c r="I102" s="1">
        <f t="shared" si="10"/>
        <v>99.009900990098998</v>
      </c>
      <c r="J102" s="1">
        <f t="shared" si="11"/>
        <v>0.1560980970393186</v>
      </c>
      <c r="K102" s="1">
        <v>5000</v>
      </c>
      <c r="L102" s="3">
        <f t="shared" si="14"/>
        <v>64161.289900990108</v>
      </c>
      <c r="M102" s="9">
        <f t="shared" si="15"/>
        <v>1.1063803848380043E-3</v>
      </c>
      <c r="N102" s="10">
        <f t="shared" si="16"/>
        <v>0.23945232614708231</v>
      </c>
      <c r="O102" s="10"/>
      <c r="P102" s="10"/>
      <c r="Q102" s="10"/>
    </row>
    <row r="103" spans="5:17" x14ac:dyDescent="0.3">
      <c r="E103" s="1">
        <v>3.14</v>
      </c>
      <c r="F103" s="1">
        <v>102</v>
      </c>
      <c r="G103" s="1">
        <f t="shared" si="12"/>
        <v>32668.560000000001</v>
      </c>
      <c r="H103" s="1">
        <f t="shared" si="13"/>
        <v>640.56000000000006</v>
      </c>
      <c r="I103" s="1">
        <f t="shared" si="10"/>
        <v>98.039215686274517</v>
      </c>
      <c r="J103" s="1">
        <f t="shared" si="11"/>
        <v>0.15305235370031614</v>
      </c>
      <c r="K103" s="1">
        <v>5000</v>
      </c>
      <c r="L103" s="3">
        <f t="shared" si="14"/>
        <v>65435.159215686275</v>
      </c>
      <c r="M103" s="9">
        <f t="shared" si="15"/>
        <v>1.084792993630573E-3</v>
      </c>
      <c r="N103" s="10">
        <f t="shared" si="16"/>
        <v>0.23710475432211092</v>
      </c>
      <c r="O103" s="10"/>
      <c r="P103" s="10"/>
      <c r="Q103" s="10"/>
    </row>
    <row r="104" spans="5:17" x14ac:dyDescent="0.3">
      <c r="E104" s="1">
        <v>3.14</v>
      </c>
      <c r="F104" s="1">
        <v>103</v>
      </c>
      <c r="G104" s="1">
        <f t="shared" si="12"/>
        <v>33312.26</v>
      </c>
      <c r="H104" s="1">
        <f t="shared" si="13"/>
        <v>646.84</v>
      </c>
      <c r="I104" s="1">
        <f t="shared" si="10"/>
        <v>97.087378640776706</v>
      </c>
      <c r="J104" s="1">
        <f t="shared" si="11"/>
        <v>0.15009488998945134</v>
      </c>
      <c r="K104" s="1">
        <v>5000</v>
      </c>
      <c r="L104" s="3">
        <f t="shared" si="14"/>
        <v>66721.60737864078</v>
      </c>
      <c r="M104" s="9">
        <f t="shared" si="15"/>
        <v>1.063831304150484E-3</v>
      </c>
      <c r="N104" s="10">
        <f t="shared" si="16"/>
        <v>0.23480276641607112</v>
      </c>
      <c r="O104" s="10"/>
      <c r="P104" s="10"/>
      <c r="Q104" s="10"/>
    </row>
    <row r="105" spans="5:17" x14ac:dyDescent="0.3">
      <c r="E105" s="1">
        <v>3.14</v>
      </c>
      <c r="F105" s="1">
        <v>104</v>
      </c>
      <c r="G105" s="1">
        <f t="shared" si="12"/>
        <v>33962.239999999998</v>
      </c>
      <c r="H105" s="1">
        <f t="shared" si="13"/>
        <v>653.12</v>
      </c>
      <c r="I105" s="1">
        <f t="shared" si="10"/>
        <v>96.15384615384616</v>
      </c>
      <c r="J105" s="1">
        <f t="shared" si="11"/>
        <v>0.14722232691365469</v>
      </c>
      <c r="K105" s="1">
        <v>5000</v>
      </c>
      <c r="L105" s="3">
        <f t="shared" si="14"/>
        <v>68020.63384615384</v>
      </c>
      <c r="M105" s="9">
        <f t="shared" si="15"/>
        <v>1.0434713670240832E-3</v>
      </c>
      <c r="N105" s="10">
        <f t="shared" si="16"/>
        <v>0.23254504750822427</v>
      </c>
      <c r="O105" s="10"/>
      <c r="P105" s="10"/>
      <c r="Q105" s="10"/>
    </row>
    <row r="106" spans="5:17" x14ac:dyDescent="0.3">
      <c r="E106" s="1">
        <v>3.14</v>
      </c>
      <c r="F106" s="1">
        <v>105</v>
      </c>
      <c r="G106" s="1">
        <f t="shared" si="12"/>
        <v>34618.5</v>
      </c>
      <c r="H106" s="1">
        <f t="shared" si="13"/>
        <v>659.4</v>
      </c>
      <c r="I106" s="1">
        <f t="shared" si="10"/>
        <v>95.238095238095241</v>
      </c>
      <c r="J106" s="1">
        <f t="shared" si="11"/>
        <v>0.14443144561433915</v>
      </c>
      <c r="K106" s="1">
        <v>5000</v>
      </c>
      <c r="L106" s="3">
        <f t="shared" si="14"/>
        <v>69332.238095238092</v>
      </c>
      <c r="M106" s="9">
        <f t="shared" si="15"/>
        <v>1.023690367866892E-3</v>
      </c>
      <c r="N106" s="10">
        <f t="shared" si="16"/>
        <v>0.23033033277005069</v>
      </c>
      <c r="O106" s="10"/>
      <c r="P106" s="10"/>
      <c r="Q106" s="10"/>
    </row>
    <row r="107" spans="5:17" x14ac:dyDescent="0.3">
      <c r="E107" s="1">
        <v>3.14</v>
      </c>
      <c r="F107" s="1">
        <v>106</v>
      </c>
      <c r="G107" s="1">
        <f t="shared" si="12"/>
        <v>35281.040000000001</v>
      </c>
      <c r="H107" s="1">
        <f t="shared" si="13"/>
        <v>665.68000000000006</v>
      </c>
      <c r="I107" s="1">
        <f t="shared" si="10"/>
        <v>94.33962264150945</v>
      </c>
      <c r="J107" s="1">
        <f t="shared" si="11"/>
        <v>0.14171917834621656</v>
      </c>
      <c r="K107" s="1">
        <v>5000</v>
      </c>
      <c r="L107" s="3">
        <f t="shared" si="14"/>
        <v>70656.419622641508</v>
      </c>
      <c r="M107" s="9">
        <f t="shared" si="15"/>
        <v>1.0044665633439376E-3</v>
      </c>
      <c r="N107" s="10">
        <f t="shared" si="16"/>
        <v>0.22815740510240864</v>
      </c>
      <c r="O107" s="10"/>
      <c r="P107" s="10"/>
      <c r="Q107" s="10"/>
    </row>
    <row r="108" spans="5:17" x14ac:dyDescent="0.3">
      <c r="E108" s="1">
        <v>3.14</v>
      </c>
      <c r="F108" s="1">
        <v>107</v>
      </c>
      <c r="G108" s="1">
        <f t="shared" si="12"/>
        <v>35949.86</v>
      </c>
      <c r="H108" s="1">
        <f t="shared" si="13"/>
        <v>671.96</v>
      </c>
      <c r="I108" s="1">
        <f t="shared" si="10"/>
        <v>93.45794392523365</v>
      </c>
      <c r="J108" s="1">
        <f t="shared" si="11"/>
        <v>0.13908260004350503</v>
      </c>
      <c r="K108" s="1">
        <v>5000</v>
      </c>
      <c r="L108" s="3">
        <f t="shared" si="14"/>
        <v>71993.177943925228</v>
      </c>
      <c r="M108" s="9">
        <f t="shared" si="15"/>
        <v>9.8577922139335178E-4</v>
      </c>
      <c r="N108" s="10">
        <f t="shared" si="16"/>
        <v>0.22602509290518996</v>
      </c>
      <c r="O108" s="10"/>
      <c r="P108" s="10"/>
      <c r="Q108" s="10"/>
    </row>
    <row r="109" spans="5:17" x14ac:dyDescent="0.3">
      <c r="E109" s="1">
        <v>3.14</v>
      </c>
      <c r="F109" s="1">
        <v>108</v>
      </c>
      <c r="G109" s="1">
        <f t="shared" si="12"/>
        <v>36624.959999999999</v>
      </c>
      <c r="H109" s="1">
        <f t="shared" si="13"/>
        <v>678.24</v>
      </c>
      <c r="I109" s="1">
        <f t="shared" si="10"/>
        <v>92.592592592592595</v>
      </c>
      <c r="J109" s="1">
        <f t="shared" si="11"/>
        <v>0.13651892043022026</v>
      </c>
      <c r="K109" s="1">
        <v>5000</v>
      </c>
      <c r="L109" s="3">
        <f t="shared" si="14"/>
        <v>73342.512592592597</v>
      </c>
      <c r="M109" s="9">
        <f t="shared" si="15"/>
        <v>9.6760856530628302E-4</v>
      </c>
      <c r="N109" s="10">
        <f t="shared" si="16"/>
        <v>0.22393226797088264</v>
      </c>
      <c r="O109" s="10"/>
      <c r="P109" s="10"/>
      <c r="Q109" s="10"/>
    </row>
    <row r="110" spans="5:17" x14ac:dyDescent="0.3">
      <c r="E110" s="1">
        <v>3.14</v>
      </c>
      <c r="F110" s="1">
        <v>109</v>
      </c>
      <c r="G110" s="1">
        <f t="shared" si="12"/>
        <v>37306.340000000004</v>
      </c>
      <c r="H110" s="1">
        <f t="shared" si="13"/>
        <v>684.52</v>
      </c>
      <c r="I110" s="1">
        <f t="shared" si="10"/>
        <v>91.743119266055032</v>
      </c>
      <c r="J110" s="1">
        <f t="shared" si="11"/>
        <v>0.13402547663480255</v>
      </c>
      <c r="K110" s="1">
        <v>5000</v>
      </c>
      <c r="L110" s="3">
        <f t="shared" si="14"/>
        <v>74704.423119266066</v>
      </c>
      <c r="M110" s="9">
        <f t="shared" si="15"/>
        <v>9.4993572138140595E-4</v>
      </c>
      <c r="N110" s="10">
        <f t="shared" si="16"/>
        <v>0.22187784349408551</v>
      </c>
      <c r="O110" s="10"/>
      <c r="P110" s="10"/>
      <c r="Q110" s="10"/>
    </row>
    <row r="111" spans="5:17" x14ac:dyDescent="0.3">
      <c r="E111" s="1">
        <v>3.14</v>
      </c>
      <c r="F111" s="1">
        <v>110</v>
      </c>
      <c r="G111" s="1">
        <f t="shared" si="12"/>
        <v>37994</v>
      </c>
      <c r="H111" s="1">
        <f t="shared" si="13"/>
        <v>690.80000000000007</v>
      </c>
      <c r="I111" s="1">
        <f t="shared" si="10"/>
        <v>90.909090909090921</v>
      </c>
      <c r="J111" s="1">
        <f t="shared" si="11"/>
        <v>0.13159972627256936</v>
      </c>
      <c r="K111" s="1">
        <v>5000</v>
      </c>
      <c r="L111" s="3">
        <f t="shared" si="14"/>
        <v>76078.909090909088</v>
      </c>
      <c r="M111" s="9">
        <f t="shared" si="15"/>
        <v>9.3274266989524656E-4</v>
      </c>
      <c r="N111" s="10">
        <f t="shared" si="16"/>
        <v>0.21986077218959379</v>
      </c>
      <c r="O111" s="10"/>
      <c r="P111" s="10"/>
      <c r="Q111" s="10"/>
    </row>
    <row r="112" spans="5:17" x14ac:dyDescent="0.3">
      <c r="E112" s="1">
        <v>3.14</v>
      </c>
      <c r="F112" s="1">
        <v>111</v>
      </c>
      <c r="G112" s="1">
        <f t="shared" si="12"/>
        <v>38687.94</v>
      </c>
      <c r="H112" s="1">
        <f t="shared" si="13"/>
        <v>697.08</v>
      </c>
      <c r="I112" s="1">
        <f t="shared" si="10"/>
        <v>90.090090090090087</v>
      </c>
      <c r="J112" s="1">
        <f t="shared" si="11"/>
        <v>0.12923924096242911</v>
      </c>
      <c r="K112" s="1">
        <v>5000</v>
      </c>
      <c r="L112" s="3">
        <f t="shared" si="14"/>
        <v>77465.970090090093</v>
      </c>
      <c r="M112" s="9">
        <f t="shared" si="15"/>
        <v>9.1601219915043281E-4</v>
      </c>
      <c r="N112" s="10">
        <f t="shared" si="16"/>
        <v>0.21788004451221007</v>
      </c>
      <c r="O112" s="10"/>
      <c r="P112" s="10"/>
      <c r="Q112" s="10"/>
    </row>
    <row r="113" spans="5:17" x14ac:dyDescent="0.3">
      <c r="E113" s="1">
        <v>3.14</v>
      </c>
      <c r="F113" s="1">
        <v>112</v>
      </c>
      <c r="G113" s="1">
        <f t="shared" si="12"/>
        <v>39388.160000000003</v>
      </c>
      <c r="H113" s="1">
        <f t="shared" si="13"/>
        <v>703.36</v>
      </c>
      <c r="I113" s="1">
        <f t="shared" si="10"/>
        <v>89.285714285714278</v>
      </c>
      <c r="J113" s="1">
        <f t="shared" si="11"/>
        <v>0.12694170024697776</v>
      </c>
      <c r="K113" s="1">
        <v>5000</v>
      </c>
      <c r="L113" s="3">
        <f t="shared" si="14"/>
        <v>78865.605714285717</v>
      </c>
      <c r="M113" s="9">
        <f t="shared" si="15"/>
        <v>8.9972786238301039E-4</v>
      </c>
      <c r="N113" s="10">
        <f t="shared" si="16"/>
        <v>0.2159346869719225</v>
      </c>
      <c r="O113" s="10"/>
      <c r="P113" s="10"/>
      <c r="Q113" s="10"/>
    </row>
    <row r="114" spans="5:17" x14ac:dyDescent="0.3">
      <c r="E114" s="1">
        <v>3.14</v>
      </c>
      <c r="F114" s="1">
        <v>113</v>
      </c>
      <c r="G114" s="1">
        <f t="shared" si="12"/>
        <v>40094.660000000003</v>
      </c>
      <c r="H114" s="1">
        <f t="shared" si="13"/>
        <v>709.64</v>
      </c>
      <c r="I114" s="1">
        <f t="shared" si="10"/>
        <v>88.495575221238923</v>
      </c>
      <c r="J114" s="1">
        <f t="shared" si="11"/>
        <v>0.12470488588754711</v>
      </c>
      <c r="K114" s="1">
        <v>5000</v>
      </c>
      <c r="L114" s="3">
        <f t="shared" si="14"/>
        <v>80277.815575221248</v>
      </c>
      <c r="M114" s="9">
        <f t="shared" si="15"/>
        <v>8.838739373273148E-4</v>
      </c>
      <c r="N114" s="10">
        <f t="shared" si="16"/>
        <v>0.21402376053854266</v>
      </c>
      <c r="O114" s="10"/>
      <c r="P114" s="10"/>
      <c r="Q114" s="10"/>
    </row>
    <row r="115" spans="5:17" x14ac:dyDescent="0.3">
      <c r="E115" s="1">
        <v>3.14</v>
      </c>
      <c r="F115" s="1">
        <v>114</v>
      </c>
      <c r="G115" s="1">
        <f t="shared" si="12"/>
        <v>40807.440000000002</v>
      </c>
      <c r="H115" s="1">
        <f t="shared" si="13"/>
        <v>715.92000000000007</v>
      </c>
      <c r="I115" s="1">
        <f t="shared" si="10"/>
        <v>87.719298245614041</v>
      </c>
      <c r="J115" s="1">
        <f t="shared" si="11"/>
        <v>0.12252667650800932</v>
      </c>
      <c r="K115" s="1">
        <v>5000</v>
      </c>
      <c r="L115" s="3">
        <f t="shared" si="14"/>
        <v>81702.599298245623</v>
      </c>
      <c r="M115" s="9">
        <f t="shared" si="15"/>
        <v>8.6843538825273018E-4</v>
      </c>
      <c r="N115" s="10">
        <f t="shared" si="16"/>
        <v>0.2121463591303098</v>
      </c>
      <c r="O115" s="10"/>
      <c r="P115" s="10"/>
      <c r="Q115" s="10"/>
    </row>
    <row r="116" spans="5:17" x14ac:dyDescent="0.3">
      <c r="E116" s="1">
        <v>3.14</v>
      </c>
      <c r="F116" s="1">
        <v>115</v>
      </c>
      <c r="G116" s="1">
        <f t="shared" si="12"/>
        <v>41526.5</v>
      </c>
      <c r="H116" s="1">
        <f t="shared" si="13"/>
        <v>722.2</v>
      </c>
      <c r="I116" s="1">
        <f t="shared" si="10"/>
        <v>86.956521739130437</v>
      </c>
      <c r="J116" s="1">
        <f t="shared" si="11"/>
        <v>0.12040504256318255</v>
      </c>
      <c r="K116" s="1">
        <v>5000</v>
      </c>
      <c r="L116" s="3">
        <f t="shared" si="14"/>
        <v>83139.956521739135</v>
      </c>
      <c r="M116" s="9">
        <f t="shared" si="15"/>
        <v>8.5339783030113296E-4</v>
      </c>
      <c r="N116" s="10">
        <f t="shared" si="16"/>
        <v>0.2103016081813506</v>
      </c>
      <c r="O116" s="10"/>
      <c r="P116" s="10"/>
      <c r="Q116" s="10"/>
    </row>
    <row r="117" spans="5:17" x14ac:dyDescent="0.3">
      <c r="E117" s="1">
        <v>3.14</v>
      </c>
      <c r="F117" s="1">
        <v>116</v>
      </c>
      <c r="G117" s="1">
        <f t="shared" si="12"/>
        <v>42251.840000000004</v>
      </c>
      <c r="H117" s="1">
        <f t="shared" si="13"/>
        <v>728.48</v>
      </c>
      <c r="I117" s="1">
        <f t="shared" si="10"/>
        <v>86.206896551724142</v>
      </c>
      <c r="J117" s="1">
        <f t="shared" si="11"/>
        <v>0.11833804160954883</v>
      </c>
      <c r="K117" s="1">
        <v>5000</v>
      </c>
      <c r="L117" s="3">
        <f t="shared" si="14"/>
        <v>84589.886896551732</v>
      </c>
      <c r="M117" s="9">
        <f t="shared" si="15"/>
        <v>8.387474959670395E-4</v>
      </c>
      <c r="N117" s="10">
        <f t="shared" si="16"/>
        <v>0.20848866328323554</v>
      </c>
      <c r="O117" s="10"/>
      <c r="P117" s="10"/>
      <c r="Q117" s="10"/>
    </row>
    <row r="118" spans="5:17" x14ac:dyDescent="0.3">
      <c r="E118" s="1">
        <v>3.14</v>
      </c>
      <c r="F118" s="1">
        <v>117</v>
      </c>
      <c r="G118" s="1">
        <f t="shared" si="12"/>
        <v>42983.46</v>
      </c>
      <c r="H118" s="1">
        <f t="shared" si="13"/>
        <v>734.76</v>
      </c>
      <c r="I118" s="1">
        <f t="shared" si="10"/>
        <v>85.470085470085465</v>
      </c>
      <c r="J118" s="1">
        <f t="shared" si="11"/>
        <v>0.11632381385770248</v>
      </c>
      <c r="K118" s="1">
        <v>5000</v>
      </c>
      <c r="L118" s="3">
        <f t="shared" si="14"/>
        <v>86052.390085470077</v>
      </c>
      <c r="M118" s="9">
        <f t="shared" si="15"/>
        <v>8.2447120357458429E-4</v>
      </c>
      <c r="N118" s="10">
        <f t="shared" si="16"/>
        <v>0.20670670889619933</v>
      </c>
      <c r="O118" s="10"/>
      <c r="P118" s="10"/>
      <c r="Q118" s="10"/>
    </row>
    <row r="119" spans="5:17" x14ac:dyDescent="0.3">
      <c r="E119" s="1">
        <v>3.14</v>
      </c>
      <c r="F119" s="1">
        <v>118</v>
      </c>
      <c r="G119" s="1">
        <f t="shared" si="12"/>
        <v>43721.36</v>
      </c>
      <c r="H119" s="1">
        <f t="shared" si="13"/>
        <v>741.04000000000008</v>
      </c>
      <c r="I119" s="1">
        <f t="shared" si="10"/>
        <v>84.745762711864415</v>
      </c>
      <c r="J119" s="1">
        <f t="shared" si="11"/>
        <v>0.11436057798751</v>
      </c>
      <c r="K119" s="1">
        <v>5000</v>
      </c>
      <c r="L119" s="3">
        <f t="shared" si="14"/>
        <v>87527.465762711872</v>
      </c>
      <c r="M119" s="9">
        <f t="shared" si="15"/>
        <v>8.1055632761652422E-4</v>
      </c>
      <c r="N119" s="10">
        <f t="shared" si="16"/>
        <v>0.20495495712589254</v>
      </c>
      <c r="O119" s="10"/>
      <c r="P119" s="10"/>
      <c r="Q119" s="10"/>
    </row>
    <row r="120" spans="5:17" x14ac:dyDescent="0.3">
      <c r="E120" s="1">
        <v>3.14</v>
      </c>
      <c r="F120" s="1">
        <v>119</v>
      </c>
      <c r="G120" s="1">
        <f t="shared" si="12"/>
        <v>44465.54</v>
      </c>
      <c r="H120" s="1">
        <f t="shared" si="13"/>
        <v>747.32</v>
      </c>
      <c r="I120" s="1">
        <f t="shared" si="10"/>
        <v>84.033613445378151</v>
      </c>
      <c r="J120" s="1">
        <f t="shared" si="11"/>
        <v>0.11244662720839553</v>
      </c>
      <c r="K120" s="1">
        <v>5000</v>
      </c>
      <c r="L120" s="3">
        <f t="shared" si="14"/>
        <v>89015.113613445385</v>
      </c>
      <c r="M120" s="9">
        <f t="shared" si="15"/>
        <v>7.9699077083062527E-4</v>
      </c>
      <c r="N120" s="10">
        <f t="shared" si="16"/>
        <v>0.20323264656180942</v>
      </c>
      <c r="O120" s="10"/>
      <c r="P120" s="10"/>
      <c r="Q120" s="10"/>
    </row>
    <row r="121" spans="5:17" x14ac:dyDescent="0.3">
      <c r="E121" s="1">
        <v>3.14</v>
      </c>
      <c r="F121" s="1">
        <v>120</v>
      </c>
      <c r="G121" s="1">
        <f t="shared" si="12"/>
        <v>45216</v>
      </c>
      <c r="H121" s="1">
        <f t="shared" si="13"/>
        <v>753.6</v>
      </c>
      <c r="I121" s="1">
        <f t="shared" si="10"/>
        <v>83.333333333333329</v>
      </c>
      <c r="J121" s="1">
        <f t="shared" si="11"/>
        <v>0.11058032554847841</v>
      </c>
      <c r="K121" s="1">
        <v>5000</v>
      </c>
      <c r="L121" s="3">
        <f t="shared" si="14"/>
        <v>90515.333333333328</v>
      </c>
      <c r="M121" s="9">
        <f t="shared" si="15"/>
        <v>7.8376293789808918E-4</v>
      </c>
      <c r="N121" s="10">
        <f t="shared" si="16"/>
        <v>0.20153904117379434</v>
      </c>
      <c r="O121" s="10"/>
      <c r="P121" s="10"/>
      <c r="Q121" s="10"/>
    </row>
    <row r="122" spans="5:17" x14ac:dyDescent="0.3">
      <c r="E122" s="1">
        <v>3.14</v>
      </c>
      <c r="F122" s="1">
        <v>121</v>
      </c>
      <c r="G122" s="1">
        <f t="shared" si="12"/>
        <v>45972.740000000005</v>
      </c>
      <c r="H122" s="1">
        <f t="shared" si="13"/>
        <v>759.88</v>
      </c>
      <c r="I122" s="1">
        <f t="shared" si="10"/>
        <v>82.644628099173545</v>
      </c>
      <c r="J122" s="1">
        <f t="shared" si="11"/>
        <v>0.10876010435749532</v>
      </c>
      <c r="K122" s="1">
        <v>5000</v>
      </c>
      <c r="L122" s="3">
        <f t="shared" si="14"/>
        <v>92028.124628099191</v>
      </c>
      <c r="M122" s="9">
        <f t="shared" si="15"/>
        <v>7.7086171065722856E-4</v>
      </c>
      <c r="N122" s="10">
        <f t="shared" si="16"/>
        <v>0.19987342926326709</v>
      </c>
      <c r="O122" s="10"/>
      <c r="P122" s="10"/>
      <c r="Q122" s="10"/>
    </row>
    <row r="123" spans="5:17" x14ac:dyDescent="0.3">
      <c r="E123" s="1">
        <v>3.14</v>
      </c>
      <c r="F123" s="1">
        <v>122</v>
      </c>
      <c r="G123" s="1">
        <f t="shared" si="12"/>
        <v>46735.76</v>
      </c>
      <c r="H123" s="1">
        <f t="shared" si="13"/>
        <v>766.16000000000008</v>
      </c>
      <c r="I123" s="1">
        <f t="shared" si="10"/>
        <v>81.967213114754102</v>
      </c>
      <c r="J123" s="1">
        <f t="shared" si="11"/>
        <v>0.10698445900954644</v>
      </c>
      <c r="K123" s="1">
        <v>5000</v>
      </c>
      <c r="L123" s="3">
        <f t="shared" si="14"/>
        <v>93553.487213114757</v>
      </c>
      <c r="M123" s="9">
        <f t="shared" si="15"/>
        <v>7.5827642473343755E-4</v>
      </c>
      <c r="N123" s="10">
        <f t="shared" si="16"/>
        <v>0.19823512246602723</v>
      </c>
      <c r="O123" s="10"/>
      <c r="P123" s="10"/>
      <c r="Q123" s="10"/>
    </row>
    <row r="124" spans="5:17" x14ac:dyDescent="0.3">
      <c r="E124" s="1">
        <v>3.14</v>
      </c>
      <c r="F124" s="1">
        <v>123</v>
      </c>
      <c r="G124" s="1">
        <f t="shared" si="12"/>
        <v>47505.060000000005</v>
      </c>
      <c r="H124" s="1">
        <f t="shared" si="13"/>
        <v>772.44</v>
      </c>
      <c r="I124" s="1">
        <f t="shared" si="10"/>
        <v>81.300813008130078</v>
      </c>
      <c r="J124" s="1">
        <f t="shared" si="11"/>
        <v>0.10525194579272186</v>
      </c>
      <c r="K124" s="1">
        <v>5000</v>
      </c>
      <c r="L124" s="3">
        <f t="shared" si="14"/>
        <v>95091.420813008139</v>
      </c>
      <c r="M124" s="9">
        <f t="shared" si="15"/>
        <v>7.4599684749371948E-4</v>
      </c>
      <c r="N124" s="10">
        <f t="shared" si="16"/>
        <v>0.19662345480370177</v>
      </c>
      <c r="O124" s="10"/>
      <c r="P124" s="10"/>
      <c r="Q124" s="10"/>
    </row>
    <row r="125" spans="5:17" x14ac:dyDescent="0.3">
      <c r="E125" s="1">
        <v>3.14</v>
      </c>
      <c r="F125" s="1">
        <v>124</v>
      </c>
      <c r="G125" s="1">
        <f t="shared" si="12"/>
        <v>48280.639999999999</v>
      </c>
      <c r="H125" s="1">
        <f t="shared" si="13"/>
        <v>778.72</v>
      </c>
      <c r="I125" s="1">
        <f t="shared" si="10"/>
        <v>80.645161290322577</v>
      </c>
      <c r="J125" s="1">
        <f t="shared" si="11"/>
        <v>0.10356117897360101</v>
      </c>
      <c r="K125" s="1">
        <v>5000</v>
      </c>
      <c r="L125" s="3">
        <f t="shared" si="14"/>
        <v>96641.925161290317</v>
      </c>
      <c r="M125" s="9">
        <f t="shared" si="15"/>
        <v>7.3401315724066639E-4</v>
      </c>
      <c r="N125" s="10">
        <f t="shared" si="16"/>
        <v>0.19503778178109135</v>
      </c>
      <c r="O125" s="10"/>
      <c r="P125" s="10"/>
      <c r="Q125" s="10"/>
    </row>
    <row r="126" spans="5:17" x14ac:dyDescent="0.3">
      <c r="E126" s="1">
        <v>3.14</v>
      </c>
      <c r="F126" s="1">
        <v>125</v>
      </c>
      <c r="G126" s="1">
        <f t="shared" si="12"/>
        <v>49062.5</v>
      </c>
      <c r="H126" s="1">
        <f t="shared" si="13"/>
        <v>785</v>
      </c>
      <c r="I126" s="1">
        <f t="shared" si="10"/>
        <v>80</v>
      </c>
      <c r="J126" s="1">
        <f t="shared" si="11"/>
        <v>0.10191082802547771</v>
      </c>
      <c r="K126" s="1">
        <v>5000</v>
      </c>
      <c r="L126" s="3">
        <f t="shared" si="14"/>
        <v>98205</v>
      </c>
      <c r="M126" s="9">
        <f t="shared" si="15"/>
        <v>7.2231592356687907E-4</v>
      </c>
      <c r="N126" s="10">
        <f t="shared" si="16"/>
        <v>0.19347747952684263</v>
      </c>
      <c r="O126" s="10"/>
      <c r="P126" s="10"/>
      <c r="Q126" s="10"/>
    </row>
    <row r="127" spans="5:17" x14ac:dyDescent="0.3">
      <c r="E127" s="1">
        <v>3.14</v>
      </c>
      <c r="F127" s="1">
        <v>126</v>
      </c>
      <c r="G127" s="1">
        <f t="shared" si="12"/>
        <v>49850.64</v>
      </c>
      <c r="H127" s="1">
        <f t="shared" si="13"/>
        <v>791.28000000000009</v>
      </c>
      <c r="I127" s="1">
        <f t="shared" si="10"/>
        <v>79.365079365079382</v>
      </c>
      <c r="J127" s="1">
        <f t="shared" si="11"/>
        <v>0.10029961500995775</v>
      </c>
      <c r="K127" s="1">
        <v>5000</v>
      </c>
      <c r="L127" s="3">
        <f t="shared" si="14"/>
        <v>99780.645079365073</v>
      </c>
      <c r="M127" s="9">
        <f t="shared" si="15"/>
        <v>7.1089608879645275E-4</v>
      </c>
      <c r="N127" s="10">
        <f t="shared" si="16"/>
        <v>0.19194194397504222</v>
      </c>
      <c r="O127" s="10"/>
      <c r="P127" s="10"/>
      <c r="Q127" s="10"/>
    </row>
    <row r="128" spans="5:17" x14ac:dyDescent="0.3">
      <c r="E128" s="1">
        <v>3.14</v>
      </c>
      <c r="F128" s="1">
        <v>127</v>
      </c>
      <c r="G128" s="1">
        <f t="shared" si="12"/>
        <v>50645.060000000005</v>
      </c>
      <c r="H128" s="1">
        <f t="shared" si="13"/>
        <v>797.56000000000006</v>
      </c>
      <c r="I128" s="1">
        <f t="shared" si="10"/>
        <v>78.740157480314963</v>
      </c>
      <c r="J128" s="1">
        <f t="shared" si="11"/>
        <v>9.872631210230573E-2</v>
      </c>
      <c r="K128" s="1">
        <v>5000</v>
      </c>
      <c r="L128" s="3">
        <f t="shared" si="14"/>
        <v>101368.86015748032</v>
      </c>
      <c r="M128" s="9">
        <f t="shared" si="15"/>
        <v>6.9974495044531487E-4</v>
      </c>
      <c r="N128" s="10">
        <f t="shared" si="16"/>
        <v>0.19043059008547497</v>
      </c>
      <c r="O128" s="10"/>
      <c r="P128" s="10"/>
      <c r="Q128" s="10"/>
    </row>
    <row r="129" spans="5:17" x14ac:dyDescent="0.3">
      <c r="E129" s="1">
        <v>3.14</v>
      </c>
      <c r="F129" s="1">
        <v>128</v>
      </c>
      <c r="G129" s="1">
        <f t="shared" si="12"/>
        <v>51445.760000000002</v>
      </c>
      <c r="H129" s="1">
        <f t="shared" si="13"/>
        <v>803.84</v>
      </c>
      <c r="I129" s="1">
        <f t="shared" si="10"/>
        <v>78.125</v>
      </c>
      <c r="J129" s="1">
        <f t="shared" si="11"/>
        <v>9.7189739251592355E-2</v>
      </c>
      <c r="K129" s="1">
        <v>5000</v>
      </c>
      <c r="L129" s="3">
        <f t="shared" si="14"/>
        <v>102969.645</v>
      </c>
      <c r="M129" s="9">
        <f t="shared" si="15"/>
        <v>6.888541446369923E-4</v>
      </c>
      <c r="N129" s="10">
        <f t="shared" si="16"/>
        <v>0.18894285110043219</v>
      </c>
      <c r="O129" s="10"/>
      <c r="P129" s="10"/>
      <c r="Q129" s="10"/>
    </row>
    <row r="130" spans="5:17" x14ac:dyDescent="0.3">
      <c r="E130" s="1">
        <v>3.14</v>
      </c>
      <c r="F130" s="1">
        <v>129</v>
      </c>
      <c r="G130" s="1">
        <f t="shared" si="12"/>
        <v>52252.740000000005</v>
      </c>
      <c r="H130" s="1">
        <f t="shared" si="13"/>
        <v>810.12</v>
      </c>
      <c r="I130" s="1">
        <f t="shared" ref="I130:I138" si="17">H130*J130</f>
        <v>77.519379844961236</v>
      </c>
      <c r="J130" s="1">
        <f t="shared" ref="J130:J138" si="18">K130/G130</f>
        <v>9.5688761967315003E-2</v>
      </c>
      <c r="K130" s="1">
        <v>5000</v>
      </c>
      <c r="L130" s="3">
        <f t="shared" si="14"/>
        <v>104582.99937984497</v>
      </c>
      <c r="M130" s="9">
        <f t="shared" si="15"/>
        <v>6.7821563041478778E-4</v>
      </c>
      <c r="N130" s="10">
        <f t="shared" si="16"/>
        <v>0.18747817783608775</v>
      </c>
      <c r="O130" s="10"/>
      <c r="P130" s="10"/>
      <c r="Q130" s="10"/>
    </row>
    <row r="131" spans="5:17" x14ac:dyDescent="0.3">
      <c r="E131" s="1">
        <v>3.14</v>
      </c>
      <c r="F131" s="1">
        <v>130</v>
      </c>
      <c r="G131" s="1">
        <f t="shared" ref="G131:G138" si="19">E131*F131^2</f>
        <v>53066</v>
      </c>
      <c r="H131" s="1">
        <f t="shared" ref="H131:H138" si="20">2*E131*F131</f>
        <v>816.4</v>
      </c>
      <c r="I131" s="1">
        <f t="shared" si="17"/>
        <v>76.92307692307692</v>
      </c>
      <c r="J131" s="1">
        <f t="shared" si="18"/>
        <v>9.4222289224739006E-2</v>
      </c>
      <c r="K131" s="1">
        <v>5000</v>
      </c>
      <c r="L131" s="3">
        <f t="shared" ref="L131:L138" si="21">(G131*2)+I131</f>
        <v>106208.92307692308</v>
      </c>
      <c r="M131" s="9">
        <f t="shared" ref="M131:M138" si="22">$C$8*J131*0.85*9.81*10^-6</f>
        <v>6.6782167489541308E-4</v>
      </c>
      <c r="N131" s="10">
        <f t="shared" ref="N131:N138" si="23">M131*F131*10^3/(2*$C$16)</f>
        <v>0.18603603800657936</v>
      </c>
      <c r="O131" s="10"/>
      <c r="P131" s="10"/>
      <c r="Q131" s="10"/>
    </row>
    <row r="132" spans="5:17" x14ac:dyDescent="0.3">
      <c r="E132" s="1">
        <v>3.14</v>
      </c>
      <c r="F132" s="1">
        <v>131</v>
      </c>
      <c r="G132" s="1">
        <f t="shared" si="19"/>
        <v>53885.54</v>
      </c>
      <c r="H132" s="1">
        <f t="shared" si="20"/>
        <v>822.68000000000006</v>
      </c>
      <c r="I132" s="1">
        <f t="shared" si="17"/>
        <v>76.335877862595424</v>
      </c>
      <c r="J132" s="1">
        <f t="shared" si="18"/>
        <v>9.2789271481737032E-2</v>
      </c>
      <c r="K132" s="1">
        <v>5000</v>
      </c>
      <c r="L132" s="3">
        <f t="shared" si="21"/>
        <v>107847.4158778626</v>
      </c>
      <c r="M132" s="9">
        <f t="shared" si="22"/>
        <v>6.5766483921289468E-4</v>
      </c>
      <c r="N132" s="10">
        <f t="shared" si="23"/>
        <v>0.1846159155790483</v>
      </c>
      <c r="O132" s="10"/>
      <c r="P132" s="10"/>
      <c r="Q132" s="10"/>
    </row>
    <row r="133" spans="5:17" x14ac:dyDescent="0.3">
      <c r="E133" s="1">
        <v>3.14</v>
      </c>
      <c r="F133" s="1">
        <v>132</v>
      </c>
      <c r="G133" s="1">
        <f t="shared" si="19"/>
        <v>54711.360000000001</v>
      </c>
      <c r="H133" s="1">
        <f t="shared" si="20"/>
        <v>828.96</v>
      </c>
      <c r="I133" s="1">
        <f t="shared" si="17"/>
        <v>75.757575757575751</v>
      </c>
      <c r="J133" s="1">
        <f t="shared" si="18"/>
        <v>9.1388698800395379E-2</v>
      </c>
      <c r="K133" s="1">
        <v>5000</v>
      </c>
      <c r="L133" s="3">
        <f t="shared" si="21"/>
        <v>109498.47757575757</v>
      </c>
      <c r="M133" s="9">
        <f t="shared" si="22"/>
        <v>6.4773796520503244E-4</v>
      </c>
      <c r="N133" s="10">
        <f t="shared" si="23"/>
        <v>0.18321731015799489</v>
      </c>
      <c r="O133" s="10"/>
      <c r="P133" s="10"/>
      <c r="Q133" s="10"/>
    </row>
    <row r="134" spans="5:17" x14ac:dyDescent="0.3">
      <c r="E134" s="1">
        <v>3.14</v>
      </c>
      <c r="F134" s="1">
        <v>133</v>
      </c>
      <c r="G134" s="1">
        <f t="shared" si="19"/>
        <v>55543.46</v>
      </c>
      <c r="H134" s="1">
        <f t="shared" si="20"/>
        <v>835.24</v>
      </c>
      <c r="I134" s="1">
        <f t="shared" si="17"/>
        <v>75.187969924812037</v>
      </c>
      <c r="J134" s="1">
        <f t="shared" si="18"/>
        <v>9.0019599067108894E-2</v>
      </c>
      <c r="K134" s="1">
        <v>5000</v>
      </c>
      <c r="L134" s="3">
        <f t="shared" si="21"/>
        <v>111162.10796992481</v>
      </c>
      <c r="M134" s="9">
        <f t="shared" si="22"/>
        <v>6.3803416279792434E-4</v>
      </c>
      <c r="N134" s="10">
        <f t="shared" si="23"/>
        <v>0.18183973639740841</v>
      </c>
      <c r="O134" s="10"/>
      <c r="P134" s="10"/>
      <c r="Q134" s="10"/>
    </row>
    <row r="135" spans="5:17" x14ac:dyDescent="0.3">
      <c r="E135" s="1">
        <v>3.14</v>
      </c>
      <c r="F135" s="1">
        <v>134</v>
      </c>
      <c r="G135" s="1">
        <f t="shared" si="19"/>
        <v>56381.840000000004</v>
      </c>
      <c r="H135" s="1">
        <f t="shared" si="20"/>
        <v>841.52</v>
      </c>
      <c r="I135" s="1">
        <f t="shared" si="17"/>
        <v>74.626865671641781</v>
      </c>
      <c r="J135" s="1">
        <f t="shared" si="18"/>
        <v>8.8681036305306812E-2</v>
      </c>
      <c r="K135" s="1">
        <v>5000</v>
      </c>
      <c r="L135" s="3">
        <f t="shared" si="21"/>
        <v>112838.30686567165</v>
      </c>
      <c r="M135" s="9">
        <f t="shared" si="22"/>
        <v>6.285467980470307E-4</v>
      </c>
      <c r="N135" s="10">
        <f t="shared" si="23"/>
        <v>0.18048272343921878</v>
      </c>
      <c r="O135" s="10"/>
      <c r="P135" s="10"/>
      <c r="Q135" s="10"/>
    </row>
    <row r="136" spans="5:17" x14ac:dyDescent="0.3">
      <c r="E136" s="1">
        <v>3.14</v>
      </c>
      <c r="F136" s="1">
        <v>135</v>
      </c>
      <c r="G136" s="1">
        <f t="shared" si="19"/>
        <v>57226.5</v>
      </c>
      <c r="H136" s="1">
        <f t="shared" si="20"/>
        <v>847.80000000000007</v>
      </c>
      <c r="I136" s="1">
        <f t="shared" si="17"/>
        <v>74.074074074074076</v>
      </c>
      <c r="J136" s="1">
        <f t="shared" si="18"/>
        <v>8.7372109075340973E-2</v>
      </c>
      <c r="K136" s="1">
        <v>5000</v>
      </c>
      <c r="L136" s="3">
        <f t="shared" si="21"/>
        <v>114527.07407407407</v>
      </c>
      <c r="M136" s="9">
        <f t="shared" si="22"/>
        <v>6.1926948179602103E-4</v>
      </c>
      <c r="N136" s="10">
        <f t="shared" si="23"/>
        <v>0.17914581437670607</v>
      </c>
      <c r="O136" s="10"/>
      <c r="P136" s="10"/>
      <c r="Q136" s="10"/>
    </row>
    <row r="137" spans="5:17" x14ac:dyDescent="0.3">
      <c r="E137" s="1">
        <v>3.14</v>
      </c>
      <c r="F137" s="1">
        <v>136</v>
      </c>
      <c r="G137" s="1">
        <f t="shared" si="19"/>
        <v>58077.440000000002</v>
      </c>
      <c r="H137" s="1">
        <f t="shared" si="20"/>
        <v>854.08</v>
      </c>
      <c r="I137" s="1">
        <f t="shared" si="17"/>
        <v>73.529411764705884</v>
      </c>
      <c r="J137" s="1">
        <f t="shared" si="18"/>
        <v>8.6091948956427827E-2</v>
      </c>
      <c r="K137" s="1">
        <v>5000</v>
      </c>
      <c r="L137" s="3">
        <f t="shared" si="21"/>
        <v>116228.4094117647</v>
      </c>
      <c r="M137" s="9">
        <f t="shared" si="22"/>
        <v>6.1019605891719743E-4</v>
      </c>
      <c r="N137" s="10">
        <f t="shared" si="23"/>
        <v>0.17782856574158326</v>
      </c>
      <c r="O137" s="10"/>
      <c r="P137" s="10"/>
      <c r="Q137" s="10"/>
    </row>
    <row r="138" spans="5:17" x14ac:dyDescent="0.3">
      <c r="E138" s="1">
        <v>3.14</v>
      </c>
      <c r="F138" s="1">
        <v>137</v>
      </c>
      <c r="G138" s="1">
        <f t="shared" si="19"/>
        <v>58934.66</v>
      </c>
      <c r="H138" s="1">
        <f t="shared" si="20"/>
        <v>860.36</v>
      </c>
      <c r="I138" s="1">
        <f t="shared" si="17"/>
        <v>72.992700729927009</v>
      </c>
      <c r="J138" s="1">
        <f t="shared" si="18"/>
        <v>8.4839719105870806E-2</v>
      </c>
      <c r="K138" s="1">
        <v>5000</v>
      </c>
      <c r="L138" s="3">
        <f t="shared" si="21"/>
        <v>117942.31270072993</v>
      </c>
      <c r="M138" s="9">
        <f t="shared" si="22"/>
        <v>6.0132059809965815E-4</v>
      </c>
      <c r="N138" s="10">
        <f t="shared" si="23"/>
        <v>0.17653054701354251</v>
      </c>
      <c r="O138" s="10"/>
      <c r="P138" s="10"/>
      <c r="Q138" s="10"/>
    </row>
  </sheetData>
  <conditionalFormatting sqref="M1:Q1 L1:L138">
    <cfRule type="expression" priority="3">
      <formula>MIN(L:L)</formula>
    </cfRule>
    <cfRule type="expression" priority="4">
      <formula>"min"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71CF2-E00F-4A6A-8E77-23AC5194A39E}">
  <sheetPr codeName="Лист2"/>
  <dimension ref="B1:S138"/>
  <sheetViews>
    <sheetView zoomScale="70" zoomScaleNormal="70" workbookViewId="0">
      <selection activeCell="H3" sqref="H3"/>
    </sheetView>
  </sheetViews>
  <sheetFormatPr defaultRowHeight="14.4" x14ac:dyDescent="0.3"/>
  <cols>
    <col min="2" max="2" width="33.33203125" customWidth="1"/>
    <col min="3" max="3" width="12" bestFit="1" customWidth="1"/>
    <col min="7" max="7" width="9.6640625" customWidth="1"/>
    <col min="8" max="8" width="12.33203125" customWidth="1"/>
    <col min="9" max="9" width="10.44140625" customWidth="1"/>
    <col min="12" max="12" width="13.6640625" customWidth="1"/>
    <col min="13" max="13" width="18" customWidth="1"/>
    <col min="14" max="17" width="24.44140625" customWidth="1"/>
  </cols>
  <sheetData>
    <row r="1" spans="2:19" ht="30.6" customHeight="1" x14ac:dyDescent="0.3">
      <c r="E1" s="5" t="s">
        <v>8</v>
      </c>
      <c r="F1" s="5" t="s">
        <v>9</v>
      </c>
      <c r="G1" s="5" t="s">
        <v>10</v>
      </c>
      <c r="H1" s="5" t="s">
        <v>2</v>
      </c>
      <c r="I1" s="5" t="s">
        <v>11</v>
      </c>
      <c r="J1" s="5" t="s">
        <v>12</v>
      </c>
      <c r="K1" s="5" t="s">
        <v>13</v>
      </c>
      <c r="L1" s="5" t="s">
        <v>14</v>
      </c>
      <c r="M1" s="6" t="s">
        <v>23</v>
      </c>
      <c r="N1" s="11" t="s">
        <v>41</v>
      </c>
      <c r="O1" s="12" t="s">
        <v>26</v>
      </c>
      <c r="P1" s="12" t="s">
        <v>27</v>
      </c>
      <c r="Q1" s="12" t="s">
        <v>25</v>
      </c>
    </row>
    <row r="2" spans="2:19" x14ac:dyDescent="0.3">
      <c r="B2" s="1" t="s">
        <v>0</v>
      </c>
      <c r="C2" s="1" t="s">
        <v>1</v>
      </c>
      <c r="D2" s="1"/>
      <c r="E2" s="1">
        <v>3.14</v>
      </c>
      <c r="F2" s="1">
        <v>1</v>
      </c>
      <c r="G2" s="1">
        <f>E2*F2^2</f>
        <v>3.14</v>
      </c>
      <c r="H2" s="1">
        <f>2*E2*F2</f>
        <v>6.28</v>
      </c>
      <c r="I2" s="1">
        <f t="shared" ref="I2:I65" si="0">H2*J2</f>
        <v>10000</v>
      </c>
      <c r="J2" s="1">
        <f>K2/G2</f>
        <v>1592.3566878980891</v>
      </c>
      <c r="K2" s="1">
        <v>5000</v>
      </c>
      <c r="L2" s="3">
        <f>(G2*2)+I2</f>
        <v>10006.280000000001</v>
      </c>
      <c r="M2" s="9">
        <f>$C$8*J2*0.85*9.81*10^-6</f>
        <v>11.286186305732482</v>
      </c>
      <c r="N2" s="17">
        <f>(1.05*$C$8*9.81*(J2*0.8-0)*F2)/(0.7*$C$17*10^6)</f>
        <v>5.1328437215650599E-2</v>
      </c>
      <c r="O2" s="10">
        <f>N2*2</f>
        <v>0.1026568744313012</v>
      </c>
      <c r="P2" s="10">
        <f>L2*7*10^-3</f>
        <v>70.043960000000013</v>
      </c>
      <c r="Q2" s="19">
        <f>P2*53000</f>
        <v>3712329.8800000008</v>
      </c>
    </row>
    <row r="3" spans="2:19" x14ac:dyDescent="0.3">
      <c r="B3" s="1" t="s">
        <v>2</v>
      </c>
      <c r="C3" s="1" t="s">
        <v>3</v>
      </c>
      <c r="D3" s="1"/>
      <c r="E3" s="1">
        <v>3.14</v>
      </c>
      <c r="F3" s="1">
        <v>2</v>
      </c>
      <c r="G3" s="1">
        <f>E3*F3^2</f>
        <v>12.56</v>
      </c>
      <c r="H3" s="1">
        <f t="shared" ref="H3:H66" si="1">2*E3*F3</f>
        <v>12.56</v>
      </c>
      <c r="I3" s="1">
        <f t="shared" si="0"/>
        <v>5000</v>
      </c>
      <c r="J3" s="1">
        <f t="shared" ref="J3:J66" si="2">K3/G3</f>
        <v>398.08917197452229</v>
      </c>
      <c r="K3" s="1">
        <v>5000</v>
      </c>
      <c r="L3" s="3">
        <f t="shared" ref="L3:L66" si="3">(G3*2)+I3</f>
        <v>5025.12</v>
      </c>
      <c r="M3" s="9">
        <f t="shared" ref="M3:M66" si="4">$C$8*J3*0.85*9.81*10^-6</f>
        <v>2.8215465764331205</v>
      </c>
      <c r="N3" s="17">
        <f t="shared" ref="N3:N66" si="5">(1.05*$C$8*9.81*(J3*0.8-0)*F3)/(0.7*$C$17*10^6)</f>
        <v>2.56642186078253E-2</v>
      </c>
      <c r="O3" s="10">
        <f t="shared" ref="O3:O25" si="6">N3*2</f>
        <v>5.1328437215650599E-2</v>
      </c>
      <c r="P3" s="10">
        <f t="shared" ref="P3:P16" si="7">L3*7*10^-3</f>
        <v>35.175839999999994</v>
      </c>
      <c r="Q3" s="19">
        <f>P3*53000</f>
        <v>1864319.5199999998</v>
      </c>
      <c r="S3">
        <f>((3*5000)/(4*PI()))^(1/3)</f>
        <v>10.60784417947055</v>
      </c>
    </row>
    <row r="4" spans="2:19" x14ac:dyDescent="0.3">
      <c r="B4" s="1" t="s">
        <v>4</v>
      </c>
      <c r="C4" s="1" t="s">
        <v>5</v>
      </c>
      <c r="D4" s="1"/>
      <c r="E4" s="1">
        <v>3.14</v>
      </c>
      <c r="F4" s="1">
        <v>3</v>
      </c>
      <c r="G4" s="1">
        <f t="shared" ref="G4:G67" si="8">E4*F4^2</f>
        <v>28.26</v>
      </c>
      <c r="H4" s="1">
        <f t="shared" si="1"/>
        <v>18.84</v>
      </c>
      <c r="I4" s="1">
        <f>H4*J4</f>
        <v>3333.3333333333335</v>
      </c>
      <c r="J4" s="1">
        <f>K4/G4</f>
        <v>176.92852087756546</v>
      </c>
      <c r="K4" s="1">
        <v>5000</v>
      </c>
      <c r="L4" s="3">
        <f>(G4*2)+I4</f>
        <v>3389.8533333333335</v>
      </c>
      <c r="M4" s="9">
        <f t="shared" si="4"/>
        <v>1.2540207006369426</v>
      </c>
      <c r="N4" s="17">
        <f t="shared" si="5"/>
        <v>1.7109479071883531E-2</v>
      </c>
      <c r="O4" s="10">
        <f t="shared" si="6"/>
        <v>3.4218958143767061E-2</v>
      </c>
      <c r="P4" s="10">
        <f t="shared" si="7"/>
        <v>23.728973333333336</v>
      </c>
      <c r="Q4" s="19">
        <f t="shared" ref="Q4:Q16" si="9">P4*53000</f>
        <v>1257635.5866666669</v>
      </c>
      <c r="S4">
        <f>1.98*10*10^3/(2*233.3)</f>
        <v>42.434633519074154</v>
      </c>
    </row>
    <row r="5" spans="2:19" x14ac:dyDescent="0.3">
      <c r="B5" s="1" t="s">
        <v>6</v>
      </c>
      <c r="C5" s="2" t="s">
        <v>7</v>
      </c>
      <c r="D5" s="1"/>
      <c r="E5" s="1">
        <v>3.14</v>
      </c>
      <c r="F5" s="1">
        <v>4</v>
      </c>
      <c r="G5" s="1">
        <f t="shared" si="8"/>
        <v>50.24</v>
      </c>
      <c r="H5" s="1">
        <f t="shared" si="1"/>
        <v>25.12</v>
      </c>
      <c r="I5" s="1">
        <f t="shared" si="0"/>
        <v>2500</v>
      </c>
      <c r="J5" s="1">
        <f t="shared" si="2"/>
        <v>99.522292993630572</v>
      </c>
      <c r="K5" s="1">
        <v>5000</v>
      </c>
      <c r="L5" s="3">
        <f t="shared" si="3"/>
        <v>2600.48</v>
      </c>
      <c r="M5" s="9">
        <f t="shared" si="4"/>
        <v>0.70538664410828011</v>
      </c>
      <c r="N5" s="17">
        <f>(1.05*$C$8*9.81*(J5*0.8-0)*F5)/(0.7*$C$17*10^6)</f>
        <v>1.283210930391265E-2</v>
      </c>
      <c r="O5" s="10">
        <f t="shared" si="6"/>
        <v>2.56642186078253E-2</v>
      </c>
      <c r="P5" s="10">
        <f t="shared" si="7"/>
        <v>18.20336</v>
      </c>
      <c r="Q5" s="19">
        <f t="shared" si="9"/>
        <v>964778.08</v>
      </c>
    </row>
    <row r="6" spans="2:19" x14ac:dyDescent="0.3">
      <c r="E6" s="1">
        <v>3.14</v>
      </c>
      <c r="F6" s="1">
        <v>5</v>
      </c>
      <c r="G6" s="1">
        <f t="shared" si="8"/>
        <v>78.5</v>
      </c>
      <c r="H6" s="1">
        <f t="shared" si="1"/>
        <v>31.400000000000002</v>
      </c>
      <c r="I6" s="1">
        <f t="shared" si="0"/>
        <v>2000</v>
      </c>
      <c r="J6" s="1">
        <f t="shared" si="2"/>
        <v>63.694267515923563</v>
      </c>
      <c r="K6" s="1">
        <v>5000</v>
      </c>
      <c r="L6" s="3">
        <f t="shared" si="3"/>
        <v>2157</v>
      </c>
      <c r="M6" s="9">
        <f t="shared" si="4"/>
        <v>0.45144745222929933</v>
      </c>
      <c r="N6" s="17">
        <f t="shared" si="5"/>
        <v>1.026568744313012E-2</v>
      </c>
      <c r="O6" s="10">
        <f t="shared" si="6"/>
        <v>2.053137488626024E-2</v>
      </c>
      <c r="P6" s="10">
        <f t="shared" si="7"/>
        <v>15.099</v>
      </c>
      <c r="Q6" s="19">
        <f t="shared" si="9"/>
        <v>800247</v>
      </c>
      <c r="S6">
        <f>PI()*(F2*2)^2*J2*7800/4000/1000</f>
        <v>39.019781366242654</v>
      </c>
    </row>
    <row r="7" spans="2:19" x14ac:dyDescent="0.3">
      <c r="B7" s="1" t="s">
        <v>17</v>
      </c>
      <c r="C7" s="1" t="s">
        <v>15</v>
      </c>
      <c r="E7" s="1">
        <v>3.14</v>
      </c>
      <c r="F7" s="1">
        <v>6</v>
      </c>
      <c r="G7" s="1">
        <f t="shared" si="8"/>
        <v>113.04</v>
      </c>
      <c r="H7" s="1">
        <f t="shared" si="1"/>
        <v>37.68</v>
      </c>
      <c r="I7" s="1">
        <f t="shared" si="0"/>
        <v>1666.6666666666667</v>
      </c>
      <c r="J7" s="1">
        <f t="shared" si="2"/>
        <v>44.232130219391365</v>
      </c>
      <c r="K7" s="1">
        <v>5000</v>
      </c>
      <c r="L7" s="3">
        <f t="shared" si="3"/>
        <v>1892.7466666666667</v>
      </c>
      <c r="M7" s="9">
        <f t="shared" si="4"/>
        <v>0.31350517515923565</v>
      </c>
      <c r="N7" s="17">
        <f t="shared" si="5"/>
        <v>8.5547395359417654E-3</v>
      </c>
      <c r="O7" s="10">
        <f t="shared" si="6"/>
        <v>1.7109479071883531E-2</v>
      </c>
      <c r="P7" s="10">
        <f t="shared" si="7"/>
        <v>13.249226666666667</v>
      </c>
      <c r="Q7" s="19">
        <f t="shared" si="9"/>
        <v>702209.01333333331</v>
      </c>
    </row>
    <row r="8" spans="2:19" x14ac:dyDescent="0.3">
      <c r="B8" s="1" t="s">
        <v>16</v>
      </c>
      <c r="C8">
        <v>850</v>
      </c>
      <c r="E8" s="1">
        <v>3.14</v>
      </c>
      <c r="F8" s="1">
        <v>7</v>
      </c>
      <c r="G8" s="1">
        <f t="shared" si="8"/>
        <v>153.86000000000001</v>
      </c>
      <c r="H8" s="1">
        <f t="shared" si="1"/>
        <v>43.96</v>
      </c>
      <c r="I8" s="1">
        <f t="shared" si="0"/>
        <v>1428.5714285714284</v>
      </c>
      <c r="J8" s="1">
        <f t="shared" si="2"/>
        <v>32.497075263226307</v>
      </c>
      <c r="K8" s="1">
        <v>5000</v>
      </c>
      <c r="L8" s="3">
        <f t="shared" si="3"/>
        <v>1736.2914285714285</v>
      </c>
      <c r="M8" s="9">
        <f t="shared" si="4"/>
        <v>0.23033033277005066</v>
      </c>
      <c r="N8" s="17">
        <f t="shared" si="5"/>
        <v>7.3326338879500857E-3</v>
      </c>
      <c r="O8" s="10">
        <f t="shared" si="6"/>
        <v>1.4665267775900171E-2</v>
      </c>
      <c r="P8" s="10">
        <f t="shared" si="7"/>
        <v>12.15404</v>
      </c>
      <c r="Q8" s="19">
        <f t="shared" si="9"/>
        <v>644164.12</v>
      </c>
    </row>
    <row r="9" spans="2:19" x14ac:dyDescent="0.3">
      <c r="B9" s="1" t="s">
        <v>18</v>
      </c>
      <c r="C9">
        <v>100</v>
      </c>
      <c r="E9" s="1">
        <v>3.14</v>
      </c>
      <c r="F9" s="1">
        <v>8</v>
      </c>
      <c r="G9" s="1">
        <f t="shared" si="8"/>
        <v>200.96</v>
      </c>
      <c r="H9" s="1">
        <f t="shared" si="1"/>
        <v>50.24</v>
      </c>
      <c r="I9" s="1">
        <f t="shared" si="0"/>
        <v>1250</v>
      </c>
      <c r="J9" s="1">
        <f t="shared" si="2"/>
        <v>24.880573248407643</v>
      </c>
      <c r="K9" s="1">
        <v>5000</v>
      </c>
      <c r="L9" s="3">
        <f t="shared" si="3"/>
        <v>1651.92</v>
      </c>
      <c r="M9" s="9">
        <f t="shared" si="4"/>
        <v>0.17634666102707003</v>
      </c>
      <c r="N9" s="17">
        <f t="shared" si="5"/>
        <v>6.4160546519563249E-3</v>
      </c>
      <c r="O9" s="10">
        <f t="shared" si="6"/>
        <v>1.283210930391265E-2</v>
      </c>
      <c r="P9" s="10">
        <f t="shared" si="7"/>
        <v>11.56344</v>
      </c>
      <c r="Q9" s="19">
        <f t="shared" si="9"/>
        <v>612862.31999999995</v>
      </c>
    </row>
    <row r="10" spans="2:19" s="14" customFormat="1" x14ac:dyDescent="0.3">
      <c r="B10" s="13" t="s">
        <v>19</v>
      </c>
      <c r="C10" s="14">
        <v>2</v>
      </c>
      <c r="E10" s="13">
        <v>3.14</v>
      </c>
      <c r="F10" s="13">
        <v>9</v>
      </c>
      <c r="G10" s="13">
        <f>E10*F10^2</f>
        <v>254.34</v>
      </c>
      <c r="H10" s="13">
        <f>2*E10*F10</f>
        <v>56.52</v>
      </c>
      <c r="I10" s="13">
        <f>H10*J10</f>
        <v>1111.1111111111111</v>
      </c>
      <c r="J10" s="13">
        <f>K10/G10</f>
        <v>19.658724541951717</v>
      </c>
      <c r="K10" s="13">
        <v>5000</v>
      </c>
      <c r="L10" s="4">
        <f>(G10*2)+I10</f>
        <v>1619.7911111111111</v>
      </c>
      <c r="M10" s="15">
        <f t="shared" si="4"/>
        <v>0.13933563340410474</v>
      </c>
      <c r="N10" s="17">
        <f t="shared" si="5"/>
        <v>5.703159690627845E-3</v>
      </c>
      <c r="O10" s="16">
        <f>N10*2</f>
        <v>1.140631938125569E-2</v>
      </c>
      <c r="P10" s="10">
        <f>L10*7*10^-3</f>
        <v>11.338537777777779</v>
      </c>
      <c r="Q10" s="21">
        <f t="shared" si="9"/>
        <v>600942.50222222228</v>
      </c>
    </row>
    <row r="11" spans="2:19" x14ac:dyDescent="0.3">
      <c r="C11" s="7">
        <f>402.1</f>
        <v>402.1</v>
      </c>
      <c r="E11" s="1">
        <v>3.14</v>
      </c>
      <c r="F11" s="1">
        <v>10</v>
      </c>
      <c r="G11" s="1">
        <f t="shared" si="8"/>
        <v>314</v>
      </c>
      <c r="H11" s="1">
        <f t="shared" si="1"/>
        <v>62.800000000000004</v>
      </c>
      <c r="I11" s="1">
        <f t="shared" si="0"/>
        <v>1000</v>
      </c>
      <c r="J11" s="1">
        <f t="shared" si="2"/>
        <v>15.923566878980891</v>
      </c>
      <c r="K11" s="1">
        <v>5000</v>
      </c>
      <c r="L11" s="3">
        <f t="shared" si="3"/>
        <v>1628</v>
      </c>
      <c r="M11" s="9">
        <f t="shared" si="4"/>
        <v>0.11286186305732483</v>
      </c>
      <c r="N11" s="17">
        <f t="shared" si="5"/>
        <v>5.1328437215650601E-3</v>
      </c>
      <c r="O11" s="10">
        <f t="shared" si="6"/>
        <v>1.026568744313012E-2</v>
      </c>
      <c r="P11" s="10">
        <f t="shared" si="7"/>
        <v>11.396000000000001</v>
      </c>
      <c r="Q11" s="19">
        <f t="shared" si="9"/>
        <v>603988</v>
      </c>
    </row>
    <row r="12" spans="2:19" ht="15.6" x14ac:dyDescent="0.3">
      <c r="C12" s="8">
        <f>143*10^6</f>
        <v>143000000</v>
      </c>
      <c r="E12" s="1">
        <v>3.14</v>
      </c>
      <c r="F12" s="1">
        <v>11</v>
      </c>
      <c r="G12" s="1">
        <f t="shared" si="8"/>
        <v>379.94</v>
      </c>
      <c r="H12" s="1">
        <f t="shared" si="1"/>
        <v>69.08</v>
      </c>
      <c r="I12" s="1">
        <f t="shared" si="0"/>
        <v>909.09090909090912</v>
      </c>
      <c r="J12" s="1">
        <f t="shared" si="2"/>
        <v>13.159972627256936</v>
      </c>
      <c r="K12" s="1">
        <v>5000</v>
      </c>
      <c r="L12" s="3">
        <f t="shared" si="3"/>
        <v>1668.9709090909091</v>
      </c>
      <c r="M12" s="9">
        <f t="shared" si="4"/>
        <v>9.3274266989524665E-2</v>
      </c>
      <c r="N12" s="17">
        <f t="shared" si="5"/>
        <v>4.6662215650591461E-3</v>
      </c>
      <c r="O12" s="10">
        <f t="shared" si="6"/>
        <v>9.3324431301182922E-3</v>
      </c>
      <c r="P12" s="10">
        <f t="shared" si="7"/>
        <v>11.682796363636363</v>
      </c>
      <c r="Q12" s="19">
        <f t="shared" si="9"/>
        <v>619188.20727272728</v>
      </c>
    </row>
    <row r="13" spans="2:19" x14ac:dyDescent="0.3">
      <c r="E13" s="1">
        <v>3.14</v>
      </c>
      <c r="F13" s="1">
        <v>12</v>
      </c>
      <c r="G13" s="1">
        <f t="shared" si="8"/>
        <v>452.16</v>
      </c>
      <c r="H13" s="1">
        <f t="shared" si="1"/>
        <v>75.36</v>
      </c>
      <c r="I13" s="1">
        <f t="shared" si="0"/>
        <v>833.33333333333337</v>
      </c>
      <c r="J13" s="1">
        <f t="shared" si="2"/>
        <v>11.058032554847841</v>
      </c>
      <c r="K13" s="1">
        <v>5000</v>
      </c>
      <c r="L13" s="3">
        <f t="shared" si="3"/>
        <v>1737.6533333333334</v>
      </c>
      <c r="M13" s="9">
        <f t="shared" si="4"/>
        <v>7.8376293789808912E-2</v>
      </c>
      <c r="N13" s="17">
        <f t="shared" si="5"/>
        <v>4.2773697679708827E-3</v>
      </c>
      <c r="O13" s="10">
        <f t="shared" si="6"/>
        <v>8.5547395359417654E-3</v>
      </c>
      <c r="P13" s="10">
        <f t="shared" si="7"/>
        <v>12.163573333333334</v>
      </c>
      <c r="Q13" s="19">
        <f t="shared" si="9"/>
        <v>644669.38666666672</v>
      </c>
    </row>
    <row r="14" spans="2:19" x14ac:dyDescent="0.3">
      <c r="B14" t="s">
        <v>20</v>
      </c>
      <c r="C14">
        <v>350</v>
      </c>
      <c r="E14" s="1">
        <v>3.14</v>
      </c>
      <c r="F14" s="1">
        <v>13</v>
      </c>
      <c r="G14" s="1">
        <f t="shared" si="8"/>
        <v>530.66</v>
      </c>
      <c r="H14" s="1">
        <f t="shared" si="1"/>
        <v>81.64</v>
      </c>
      <c r="I14" s="1">
        <f t="shared" si="0"/>
        <v>769.23076923076928</v>
      </c>
      <c r="J14" s="1">
        <f t="shared" si="2"/>
        <v>9.4222289224739004</v>
      </c>
      <c r="K14" s="1">
        <v>5000</v>
      </c>
      <c r="L14" s="3">
        <f t="shared" si="3"/>
        <v>1830.5507692307692</v>
      </c>
      <c r="M14" s="9">
        <f t="shared" si="4"/>
        <v>6.6782167489541328E-2</v>
      </c>
      <c r="N14" s="17">
        <f t="shared" si="5"/>
        <v>3.9483413242808151E-3</v>
      </c>
      <c r="O14" s="10">
        <f t="shared" si="6"/>
        <v>7.8966826485616301E-3</v>
      </c>
      <c r="P14" s="10">
        <f t="shared" si="7"/>
        <v>12.813855384615385</v>
      </c>
      <c r="Q14" s="19">
        <f t="shared" si="9"/>
        <v>679134.33538461546</v>
      </c>
    </row>
    <row r="15" spans="2:19" x14ac:dyDescent="0.3">
      <c r="B15" t="s">
        <v>21</v>
      </c>
      <c r="C15">
        <v>1.5</v>
      </c>
      <c r="E15" s="1">
        <v>3.14</v>
      </c>
      <c r="F15" s="1">
        <v>14</v>
      </c>
      <c r="G15" s="1">
        <f t="shared" si="8"/>
        <v>615.44000000000005</v>
      </c>
      <c r="H15" s="1">
        <f t="shared" si="1"/>
        <v>87.92</v>
      </c>
      <c r="I15" s="1">
        <f t="shared" si="0"/>
        <v>714.28571428571422</v>
      </c>
      <c r="J15" s="1">
        <f t="shared" si="2"/>
        <v>8.1242688158065768</v>
      </c>
      <c r="K15" s="1">
        <v>5000</v>
      </c>
      <c r="L15" s="3">
        <f t="shared" si="3"/>
        <v>1945.1657142857143</v>
      </c>
      <c r="M15" s="9">
        <f t="shared" si="4"/>
        <v>5.7582583192512665E-2</v>
      </c>
      <c r="N15" s="17">
        <f t="shared" si="5"/>
        <v>3.6663169439750429E-3</v>
      </c>
      <c r="O15" s="10">
        <f t="shared" si="6"/>
        <v>7.3326338879500857E-3</v>
      </c>
      <c r="P15" s="10">
        <f t="shared" si="7"/>
        <v>13.616160000000001</v>
      </c>
      <c r="Q15" s="19">
        <f t="shared" si="9"/>
        <v>721656.48</v>
      </c>
    </row>
    <row r="16" spans="2:19" x14ac:dyDescent="0.3">
      <c r="B16" t="s">
        <v>24</v>
      </c>
      <c r="C16" s="10">
        <f>C14/C15</f>
        <v>233.33333333333334</v>
      </c>
      <c r="E16" s="1">
        <v>3.14</v>
      </c>
      <c r="F16" s="1">
        <v>15</v>
      </c>
      <c r="G16" s="1">
        <f t="shared" si="8"/>
        <v>706.5</v>
      </c>
      <c r="H16" s="1">
        <f t="shared" si="1"/>
        <v>94.2</v>
      </c>
      <c r="I16" s="1">
        <f t="shared" si="0"/>
        <v>666.66666666666663</v>
      </c>
      <c r="J16" s="1">
        <f t="shared" si="2"/>
        <v>7.0771408351026182</v>
      </c>
      <c r="K16" s="1">
        <v>5000</v>
      </c>
      <c r="L16" s="3">
        <f t="shared" si="3"/>
        <v>2079.6666666666665</v>
      </c>
      <c r="M16" s="9">
        <f t="shared" si="4"/>
        <v>5.0160828025477708E-2</v>
      </c>
      <c r="N16" s="17">
        <f t="shared" si="5"/>
        <v>3.4218958143767066E-3</v>
      </c>
      <c r="O16" s="10">
        <f t="shared" si="6"/>
        <v>6.8437916287534132E-3</v>
      </c>
      <c r="P16" s="10">
        <f t="shared" si="7"/>
        <v>14.557666666666666</v>
      </c>
      <c r="Q16" s="19">
        <f t="shared" si="9"/>
        <v>771556.33333333326</v>
      </c>
    </row>
    <row r="17" spans="2:17" x14ac:dyDescent="0.3">
      <c r="B17" t="s">
        <v>40</v>
      </c>
      <c r="C17">
        <f>C14/(1.025*1.1)</f>
        <v>310.42128603104214</v>
      </c>
      <c r="E17" s="1">
        <v>3.14</v>
      </c>
      <c r="F17" s="1">
        <v>16</v>
      </c>
      <c r="G17" s="1">
        <f t="shared" si="8"/>
        <v>803.84</v>
      </c>
      <c r="H17" s="1">
        <f t="shared" si="1"/>
        <v>100.48</v>
      </c>
      <c r="I17" s="1">
        <f t="shared" si="0"/>
        <v>625</v>
      </c>
      <c r="J17" s="1">
        <f t="shared" si="2"/>
        <v>6.2201433121019107</v>
      </c>
      <c r="K17" s="1">
        <v>5000</v>
      </c>
      <c r="L17" s="3">
        <f t="shared" si="3"/>
        <v>2232.6800000000003</v>
      </c>
      <c r="M17" s="9">
        <f t="shared" si="4"/>
        <v>4.4086665256767507E-2</v>
      </c>
      <c r="N17" s="17">
        <f t="shared" si="5"/>
        <v>3.2080273259781624E-3</v>
      </c>
      <c r="O17" s="10">
        <f t="shared" si="6"/>
        <v>6.4160546519563249E-3</v>
      </c>
      <c r="P17" s="10"/>
      <c r="Q17" s="10"/>
    </row>
    <row r="18" spans="2:17" x14ac:dyDescent="0.3">
      <c r="E18" s="1">
        <v>3.14</v>
      </c>
      <c r="F18" s="1">
        <v>17</v>
      </c>
      <c r="G18" s="1">
        <f t="shared" si="8"/>
        <v>907.46</v>
      </c>
      <c r="H18" s="1">
        <f t="shared" si="1"/>
        <v>106.76</v>
      </c>
      <c r="I18" s="1">
        <f t="shared" si="0"/>
        <v>588.23529411764707</v>
      </c>
      <c r="J18" s="1">
        <f t="shared" si="2"/>
        <v>5.5098847332113809</v>
      </c>
      <c r="K18" s="1">
        <v>5000</v>
      </c>
      <c r="L18" s="3">
        <f t="shared" si="3"/>
        <v>2403.1552941176469</v>
      </c>
      <c r="M18" s="9">
        <f t="shared" si="4"/>
        <v>3.9052547770700635E-2</v>
      </c>
      <c r="N18" s="17">
        <f t="shared" si="5"/>
        <v>3.019319836214741E-3</v>
      </c>
      <c r="O18" s="10">
        <f t="shared" si="6"/>
        <v>6.038639672429482E-3</v>
      </c>
      <c r="P18" s="10"/>
      <c r="Q18" s="10"/>
    </row>
    <row r="19" spans="2:17" x14ac:dyDescent="0.3">
      <c r="E19" s="1">
        <v>3.14</v>
      </c>
      <c r="F19" s="1">
        <v>18</v>
      </c>
      <c r="G19" s="1">
        <f t="shared" si="8"/>
        <v>1017.36</v>
      </c>
      <c r="H19" s="1">
        <f t="shared" si="1"/>
        <v>113.04</v>
      </c>
      <c r="I19" s="1">
        <f t="shared" si="0"/>
        <v>555.55555555555554</v>
      </c>
      <c r="J19" s="1">
        <f t="shared" si="2"/>
        <v>4.9146811354879292</v>
      </c>
      <c r="K19" s="1">
        <v>5000</v>
      </c>
      <c r="L19" s="3">
        <f t="shared" si="3"/>
        <v>2590.2755555555555</v>
      </c>
      <c r="M19" s="9">
        <f t="shared" si="4"/>
        <v>3.4833908351026184E-2</v>
      </c>
      <c r="N19" s="17">
        <f t="shared" si="5"/>
        <v>2.8515798453139225E-3</v>
      </c>
      <c r="O19" s="10">
        <f t="shared" si="6"/>
        <v>5.703159690627845E-3</v>
      </c>
      <c r="P19" s="10"/>
      <c r="Q19" s="10"/>
    </row>
    <row r="20" spans="2:17" x14ac:dyDescent="0.3">
      <c r="E20" s="1">
        <v>3.14</v>
      </c>
      <c r="F20" s="1">
        <v>19</v>
      </c>
      <c r="G20" s="1">
        <f t="shared" si="8"/>
        <v>1133.54</v>
      </c>
      <c r="H20" s="1">
        <f t="shared" si="1"/>
        <v>119.32000000000001</v>
      </c>
      <c r="I20" s="1">
        <f t="shared" si="0"/>
        <v>526.31578947368428</v>
      </c>
      <c r="J20" s="1">
        <f t="shared" si="2"/>
        <v>4.4109603542883358</v>
      </c>
      <c r="K20" s="1">
        <v>5000</v>
      </c>
      <c r="L20" s="3">
        <f t="shared" si="3"/>
        <v>2793.3957894736841</v>
      </c>
      <c r="M20" s="9">
        <f t="shared" si="4"/>
        <v>3.1263673977098297E-2</v>
      </c>
      <c r="N20" s="17">
        <f t="shared" si="5"/>
        <v>2.7014966955605578E-3</v>
      </c>
      <c r="O20" s="10">
        <f t="shared" si="6"/>
        <v>5.4029933911211156E-3</v>
      </c>
      <c r="P20" s="10"/>
      <c r="Q20" s="10"/>
    </row>
    <row r="21" spans="2:17" x14ac:dyDescent="0.3">
      <c r="E21" s="1">
        <v>3.14</v>
      </c>
      <c r="F21" s="1">
        <v>20</v>
      </c>
      <c r="G21" s="1">
        <f t="shared" si="8"/>
        <v>1256</v>
      </c>
      <c r="H21" s="1">
        <f t="shared" si="1"/>
        <v>125.60000000000001</v>
      </c>
      <c r="I21" s="1">
        <f t="shared" si="0"/>
        <v>500</v>
      </c>
      <c r="J21" s="1">
        <f t="shared" si="2"/>
        <v>3.9808917197452227</v>
      </c>
      <c r="K21" s="1">
        <v>5000</v>
      </c>
      <c r="L21" s="3">
        <f t="shared" si="3"/>
        <v>3012</v>
      </c>
      <c r="M21" s="9">
        <f t="shared" si="4"/>
        <v>2.8215465764331208E-2</v>
      </c>
      <c r="N21" s="17">
        <f t="shared" si="5"/>
        <v>2.56642186078253E-3</v>
      </c>
      <c r="O21" s="10">
        <f t="shared" si="6"/>
        <v>5.1328437215650601E-3</v>
      </c>
      <c r="P21" s="10"/>
      <c r="Q21" s="10"/>
    </row>
    <row r="22" spans="2:17" x14ac:dyDescent="0.3">
      <c r="E22" s="1">
        <v>3.14</v>
      </c>
      <c r="F22" s="1">
        <v>21</v>
      </c>
      <c r="G22" s="1">
        <f t="shared" si="8"/>
        <v>1384.74</v>
      </c>
      <c r="H22" s="1">
        <f t="shared" si="1"/>
        <v>131.88</v>
      </c>
      <c r="I22" s="1">
        <f t="shared" si="0"/>
        <v>476.19047619047615</v>
      </c>
      <c r="J22" s="1">
        <f t="shared" si="2"/>
        <v>3.6107861403584787</v>
      </c>
      <c r="K22" s="1">
        <v>5000</v>
      </c>
      <c r="L22" s="3">
        <f t="shared" si="3"/>
        <v>3245.6704761904762</v>
      </c>
      <c r="M22" s="9">
        <f t="shared" si="4"/>
        <v>2.5592259196672296E-2</v>
      </c>
      <c r="N22" s="17">
        <f t="shared" si="5"/>
        <v>2.4442112959833615E-3</v>
      </c>
      <c r="O22" s="10">
        <f t="shared" si="6"/>
        <v>4.8884225919667229E-3</v>
      </c>
      <c r="P22" s="10"/>
      <c r="Q22" s="10"/>
    </row>
    <row r="23" spans="2:17" x14ac:dyDescent="0.3">
      <c r="E23" s="1">
        <v>3.14</v>
      </c>
      <c r="F23" s="1">
        <v>22</v>
      </c>
      <c r="G23" s="1">
        <f t="shared" si="8"/>
        <v>1519.76</v>
      </c>
      <c r="H23" s="1">
        <f t="shared" si="1"/>
        <v>138.16</v>
      </c>
      <c r="I23" s="1">
        <f t="shared" si="0"/>
        <v>454.54545454545456</v>
      </c>
      <c r="J23" s="1">
        <f t="shared" si="2"/>
        <v>3.289993156814234</v>
      </c>
      <c r="K23" s="1">
        <v>5000</v>
      </c>
      <c r="L23" s="3">
        <f t="shared" si="3"/>
        <v>3494.0654545454545</v>
      </c>
      <c r="M23" s="9">
        <f t="shared" si="4"/>
        <v>2.3318566747381166E-2</v>
      </c>
      <c r="N23" s="17">
        <f t="shared" si="5"/>
        <v>2.333110782529573E-3</v>
      </c>
      <c r="O23" s="10">
        <f t="shared" si="6"/>
        <v>4.6662215650591461E-3</v>
      </c>
      <c r="P23" s="10"/>
      <c r="Q23" s="10"/>
    </row>
    <row r="24" spans="2:17" x14ac:dyDescent="0.3">
      <c r="E24" s="1">
        <v>3.14</v>
      </c>
      <c r="F24" s="1">
        <v>23</v>
      </c>
      <c r="G24" s="1">
        <f t="shared" si="8"/>
        <v>1661.0600000000002</v>
      </c>
      <c r="H24" s="1">
        <f t="shared" si="1"/>
        <v>144.44</v>
      </c>
      <c r="I24" s="1">
        <f t="shared" si="0"/>
        <v>434.78260869565213</v>
      </c>
      <c r="J24" s="1">
        <f t="shared" si="2"/>
        <v>3.0101260640795635</v>
      </c>
      <c r="K24" s="1">
        <v>5000</v>
      </c>
      <c r="L24" s="3">
        <f t="shared" si="3"/>
        <v>3756.9026086956524</v>
      </c>
      <c r="M24" s="9">
        <f t="shared" si="4"/>
        <v>2.1334945757528322E-2</v>
      </c>
      <c r="N24" s="17">
        <f t="shared" si="5"/>
        <v>2.2316711832891562E-3</v>
      </c>
      <c r="O24" s="10">
        <f t="shared" si="6"/>
        <v>4.4633423665783123E-3</v>
      </c>
      <c r="P24" s="10"/>
      <c r="Q24" s="10"/>
    </row>
    <row r="25" spans="2:17" x14ac:dyDescent="0.3">
      <c r="E25" s="1">
        <v>3.14</v>
      </c>
      <c r="F25" s="1">
        <v>24</v>
      </c>
      <c r="G25" s="1">
        <f t="shared" si="8"/>
        <v>1808.64</v>
      </c>
      <c r="H25" s="1">
        <f t="shared" si="1"/>
        <v>150.72</v>
      </c>
      <c r="I25" s="1">
        <f t="shared" si="0"/>
        <v>416.66666666666669</v>
      </c>
      <c r="J25" s="1">
        <f t="shared" si="2"/>
        <v>2.7645081387119603</v>
      </c>
      <c r="K25" s="1">
        <v>5000</v>
      </c>
      <c r="L25" s="3">
        <f t="shared" si="3"/>
        <v>4033.9466666666667</v>
      </c>
      <c r="M25" s="9">
        <f t="shared" si="4"/>
        <v>1.9594073447452228E-2</v>
      </c>
      <c r="N25" s="17">
        <f t="shared" si="5"/>
        <v>2.1386848839854413E-3</v>
      </c>
      <c r="O25" s="10">
        <f t="shared" si="6"/>
        <v>4.2773697679708827E-3</v>
      </c>
      <c r="P25" s="10"/>
      <c r="Q25" s="10"/>
    </row>
    <row r="26" spans="2:17" x14ac:dyDescent="0.3">
      <c r="E26" s="1">
        <v>3.14</v>
      </c>
      <c r="F26" s="1">
        <v>25</v>
      </c>
      <c r="G26" s="1">
        <f t="shared" si="8"/>
        <v>1962.5</v>
      </c>
      <c r="H26" s="1">
        <f t="shared" si="1"/>
        <v>157</v>
      </c>
      <c r="I26" s="1">
        <f t="shared" si="0"/>
        <v>400</v>
      </c>
      <c r="J26" s="1">
        <f t="shared" si="2"/>
        <v>2.5477707006369426</v>
      </c>
      <c r="K26" s="1">
        <v>5000</v>
      </c>
      <c r="L26" s="3">
        <f t="shared" si="3"/>
        <v>4325</v>
      </c>
      <c r="M26" s="9">
        <f t="shared" si="4"/>
        <v>1.8057898089171971E-2</v>
      </c>
      <c r="N26" s="17">
        <f t="shared" si="5"/>
        <v>2.0531374886260238E-3</v>
      </c>
      <c r="O26" s="10"/>
      <c r="P26" s="10"/>
      <c r="Q26" s="10"/>
    </row>
    <row r="27" spans="2:17" x14ac:dyDescent="0.3">
      <c r="E27" s="1">
        <v>3.14</v>
      </c>
      <c r="F27" s="1">
        <v>26</v>
      </c>
      <c r="G27" s="1">
        <f t="shared" si="8"/>
        <v>2122.64</v>
      </c>
      <c r="H27" s="1">
        <f t="shared" si="1"/>
        <v>163.28</v>
      </c>
      <c r="I27" s="1">
        <f t="shared" si="0"/>
        <v>384.61538461538464</v>
      </c>
      <c r="J27" s="1">
        <f t="shared" si="2"/>
        <v>2.3555572306184751</v>
      </c>
      <c r="K27" s="1">
        <v>5000</v>
      </c>
      <c r="L27" s="3">
        <f t="shared" si="3"/>
        <v>4629.8953846153845</v>
      </c>
      <c r="M27" s="9">
        <f t="shared" si="4"/>
        <v>1.6695541872385332E-2</v>
      </c>
      <c r="N27" s="17">
        <f t="shared" si="5"/>
        <v>1.9741706621404075E-3</v>
      </c>
      <c r="O27" s="10"/>
      <c r="P27" s="10"/>
      <c r="Q27" s="10"/>
    </row>
    <row r="28" spans="2:17" x14ac:dyDescent="0.3">
      <c r="E28" s="1">
        <v>3.14</v>
      </c>
      <c r="F28" s="1">
        <v>27</v>
      </c>
      <c r="G28" s="1">
        <f t="shared" si="8"/>
        <v>2289.06</v>
      </c>
      <c r="H28" s="1">
        <f t="shared" si="1"/>
        <v>169.56</v>
      </c>
      <c r="I28" s="1">
        <f t="shared" si="0"/>
        <v>370.37037037037038</v>
      </c>
      <c r="J28" s="1">
        <f t="shared" si="2"/>
        <v>2.1843027268835242</v>
      </c>
      <c r="K28" s="1">
        <v>5000</v>
      </c>
      <c r="L28" s="3">
        <f t="shared" si="3"/>
        <v>4948.4903703703703</v>
      </c>
      <c r="M28" s="9">
        <f t="shared" si="4"/>
        <v>1.5481737044900528E-2</v>
      </c>
      <c r="N28" s="17">
        <f t="shared" si="5"/>
        <v>1.9010532302092815E-3</v>
      </c>
      <c r="O28" s="10"/>
      <c r="P28" s="10"/>
      <c r="Q28" s="10"/>
    </row>
    <row r="29" spans="2:17" x14ac:dyDescent="0.3">
      <c r="E29" s="1">
        <v>3.14</v>
      </c>
      <c r="F29" s="1">
        <v>28</v>
      </c>
      <c r="G29" s="1">
        <f t="shared" si="8"/>
        <v>2461.7600000000002</v>
      </c>
      <c r="H29" s="1">
        <f t="shared" si="1"/>
        <v>175.84</v>
      </c>
      <c r="I29" s="1">
        <f t="shared" si="0"/>
        <v>357.14285714285711</v>
      </c>
      <c r="J29" s="1">
        <f t="shared" si="2"/>
        <v>2.0310672039516442</v>
      </c>
      <c r="K29" s="1">
        <v>5000</v>
      </c>
      <c r="L29" s="3">
        <f t="shared" si="3"/>
        <v>5280.6628571428573</v>
      </c>
      <c r="M29" s="9">
        <f t="shared" si="4"/>
        <v>1.4395645798128166E-2</v>
      </c>
      <c r="N29" s="17">
        <f t="shared" si="5"/>
        <v>1.8331584719875214E-3</v>
      </c>
      <c r="O29" s="10"/>
      <c r="P29" s="10"/>
      <c r="Q29" s="10"/>
    </row>
    <row r="30" spans="2:17" x14ac:dyDescent="0.3">
      <c r="E30" s="1">
        <v>3.14</v>
      </c>
      <c r="F30" s="1">
        <v>29</v>
      </c>
      <c r="G30" s="1">
        <f t="shared" si="8"/>
        <v>2640.7400000000002</v>
      </c>
      <c r="H30" s="1">
        <f t="shared" si="1"/>
        <v>182.12</v>
      </c>
      <c r="I30" s="1">
        <f t="shared" si="0"/>
        <v>344.82758620689657</v>
      </c>
      <c r="J30" s="1">
        <f t="shared" si="2"/>
        <v>1.8934086657527813</v>
      </c>
      <c r="K30" s="1">
        <v>5000</v>
      </c>
      <c r="L30" s="3">
        <f t="shared" si="3"/>
        <v>5626.3075862068972</v>
      </c>
      <c r="M30" s="9">
        <f t="shared" si="4"/>
        <v>1.3419959935472632E-2</v>
      </c>
      <c r="N30" s="17">
        <f t="shared" si="5"/>
        <v>1.7699461108845037E-3</v>
      </c>
      <c r="O30" s="10"/>
      <c r="P30" s="10"/>
      <c r="Q30" s="10"/>
    </row>
    <row r="31" spans="2:17" x14ac:dyDescent="0.3">
      <c r="E31" s="1">
        <v>3.14</v>
      </c>
      <c r="F31" s="1">
        <v>30</v>
      </c>
      <c r="G31" s="1">
        <f t="shared" si="8"/>
        <v>2826</v>
      </c>
      <c r="H31" s="1">
        <f t="shared" si="1"/>
        <v>188.4</v>
      </c>
      <c r="I31" s="1">
        <f t="shared" si="0"/>
        <v>333.33333333333331</v>
      </c>
      <c r="J31" s="1">
        <f t="shared" si="2"/>
        <v>1.7692852087756545</v>
      </c>
      <c r="K31" s="1">
        <v>5000</v>
      </c>
      <c r="L31" s="3">
        <f t="shared" si="3"/>
        <v>5985.333333333333</v>
      </c>
      <c r="M31" s="9">
        <f t="shared" si="4"/>
        <v>1.2540207006369427E-2</v>
      </c>
      <c r="N31" s="17">
        <f t="shared" si="5"/>
        <v>1.7109479071883533E-3</v>
      </c>
      <c r="O31" s="10"/>
      <c r="P31" s="10"/>
      <c r="Q31" s="10"/>
    </row>
    <row r="32" spans="2:17" x14ac:dyDescent="0.3">
      <c r="E32" s="1">
        <v>3.14</v>
      </c>
      <c r="F32" s="1">
        <v>31</v>
      </c>
      <c r="G32" s="1">
        <f t="shared" si="8"/>
        <v>3017.54</v>
      </c>
      <c r="H32" s="1">
        <f t="shared" si="1"/>
        <v>194.68</v>
      </c>
      <c r="I32" s="1">
        <f t="shared" si="0"/>
        <v>322.58064516129031</v>
      </c>
      <c r="J32" s="1">
        <f t="shared" si="2"/>
        <v>1.6569788635776161</v>
      </c>
      <c r="K32" s="1">
        <v>5000</v>
      </c>
      <c r="L32" s="3">
        <f t="shared" si="3"/>
        <v>6357.6606451612906</v>
      </c>
      <c r="M32" s="9">
        <f t="shared" si="4"/>
        <v>1.1744210515850662E-2</v>
      </c>
      <c r="N32" s="17">
        <f t="shared" si="5"/>
        <v>1.6557560392145355E-3</v>
      </c>
      <c r="O32" s="10"/>
      <c r="P32" s="10"/>
      <c r="Q32" s="10"/>
    </row>
    <row r="33" spans="5:17" x14ac:dyDescent="0.3">
      <c r="E33" s="1">
        <v>3.14</v>
      </c>
      <c r="F33" s="1">
        <v>32</v>
      </c>
      <c r="G33" s="1">
        <f t="shared" si="8"/>
        <v>3215.36</v>
      </c>
      <c r="H33" s="1">
        <f t="shared" si="1"/>
        <v>200.96</v>
      </c>
      <c r="I33" s="1">
        <f t="shared" si="0"/>
        <v>312.5</v>
      </c>
      <c r="J33" s="1">
        <f t="shared" si="2"/>
        <v>1.5550358280254777</v>
      </c>
      <c r="K33" s="1">
        <v>5000</v>
      </c>
      <c r="L33" s="3">
        <f t="shared" si="3"/>
        <v>6743.22</v>
      </c>
      <c r="M33" s="9">
        <f t="shared" si="4"/>
        <v>1.1021666314191877E-2</v>
      </c>
      <c r="N33" s="17">
        <f t="shared" si="5"/>
        <v>1.6040136629890812E-3</v>
      </c>
      <c r="O33" s="10"/>
      <c r="P33" s="10"/>
      <c r="Q33" s="10"/>
    </row>
    <row r="34" spans="5:17" x14ac:dyDescent="0.3">
      <c r="E34" s="1">
        <v>3.14</v>
      </c>
      <c r="F34" s="1">
        <v>33</v>
      </c>
      <c r="G34" s="1">
        <f t="shared" si="8"/>
        <v>3419.46</v>
      </c>
      <c r="H34" s="1">
        <f t="shared" si="1"/>
        <v>207.24</v>
      </c>
      <c r="I34" s="1">
        <f t="shared" si="0"/>
        <v>303.030303030303</v>
      </c>
      <c r="J34" s="1">
        <f t="shared" si="2"/>
        <v>1.4622191808063261</v>
      </c>
      <c r="K34" s="1">
        <v>5000</v>
      </c>
      <c r="L34" s="3">
        <f t="shared" si="3"/>
        <v>7141.9503030303031</v>
      </c>
      <c r="M34" s="9">
        <f t="shared" si="4"/>
        <v>1.0363807443280519E-2</v>
      </c>
      <c r="N34" s="17">
        <f t="shared" si="5"/>
        <v>1.5554071883530484E-3</v>
      </c>
      <c r="O34" s="10"/>
      <c r="P34" s="10"/>
      <c r="Q34" s="10"/>
    </row>
    <row r="35" spans="5:17" x14ac:dyDescent="0.3">
      <c r="E35" s="1">
        <v>3.14</v>
      </c>
      <c r="F35" s="1">
        <v>34</v>
      </c>
      <c r="G35" s="1">
        <f t="shared" si="8"/>
        <v>3629.84</v>
      </c>
      <c r="H35" s="1">
        <f t="shared" si="1"/>
        <v>213.52</v>
      </c>
      <c r="I35" s="1">
        <f t="shared" si="0"/>
        <v>294.11764705882354</v>
      </c>
      <c r="J35" s="1">
        <f t="shared" si="2"/>
        <v>1.3774711833028452</v>
      </c>
      <c r="K35" s="1">
        <v>5000</v>
      </c>
      <c r="L35" s="3">
        <f t="shared" si="3"/>
        <v>7553.7976470588237</v>
      </c>
      <c r="M35" s="9">
        <f t="shared" si="4"/>
        <v>9.7631369426751588E-3</v>
      </c>
      <c r="N35" s="17">
        <f t="shared" si="5"/>
        <v>1.5096599181073705E-3</v>
      </c>
      <c r="O35" s="10"/>
      <c r="P35" s="10"/>
      <c r="Q35" s="10"/>
    </row>
    <row r="36" spans="5:17" x14ac:dyDescent="0.3">
      <c r="E36" s="1">
        <v>3.14</v>
      </c>
      <c r="F36" s="1">
        <v>35</v>
      </c>
      <c r="G36" s="1">
        <f t="shared" si="8"/>
        <v>3846.5</v>
      </c>
      <c r="H36" s="1">
        <f t="shared" si="1"/>
        <v>219.8</v>
      </c>
      <c r="I36" s="1">
        <f t="shared" si="0"/>
        <v>285.71428571428572</v>
      </c>
      <c r="J36" s="1">
        <f t="shared" si="2"/>
        <v>1.2998830105290524</v>
      </c>
      <c r="K36" s="1">
        <v>5000</v>
      </c>
      <c r="L36" s="3">
        <f t="shared" si="3"/>
        <v>7978.7142857142853</v>
      </c>
      <c r="M36" s="9">
        <f t="shared" si="4"/>
        <v>9.2132133108020296E-3</v>
      </c>
      <c r="N36" s="17">
        <f t="shared" si="5"/>
        <v>1.466526777590017E-3</v>
      </c>
      <c r="O36" s="10"/>
      <c r="P36" s="10"/>
      <c r="Q36" s="10"/>
    </row>
    <row r="37" spans="5:17" x14ac:dyDescent="0.3">
      <c r="E37" s="1">
        <v>3.14</v>
      </c>
      <c r="F37" s="1">
        <v>36</v>
      </c>
      <c r="G37" s="1">
        <f t="shared" si="8"/>
        <v>4069.44</v>
      </c>
      <c r="H37" s="1">
        <f t="shared" si="1"/>
        <v>226.08</v>
      </c>
      <c r="I37" s="1">
        <f t="shared" si="0"/>
        <v>277.77777777777777</v>
      </c>
      <c r="J37" s="1">
        <f t="shared" si="2"/>
        <v>1.2286702838719823</v>
      </c>
      <c r="K37" s="1">
        <v>5000</v>
      </c>
      <c r="L37" s="3">
        <f t="shared" si="3"/>
        <v>8416.6577777777784</v>
      </c>
      <c r="M37" s="9">
        <f t="shared" si="4"/>
        <v>8.708477087756546E-3</v>
      </c>
      <c r="N37" s="17">
        <f t="shared" si="5"/>
        <v>1.4257899226569613E-3</v>
      </c>
      <c r="O37" s="10"/>
      <c r="P37" s="10"/>
      <c r="Q37" s="10"/>
    </row>
    <row r="38" spans="5:17" x14ac:dyDescent="0.3">
      <c r="E38" s="1">
        <v>3.14</v>
      </c>
      <c r="F38" s="1">
        <v>37</v>
      </c>
      <c r="G38" s="1">
        <f t="shared" si="8"/>
        <v>4298.66</v>
      </c>
      <c r="H38" s="1">
        <f t="shared" si="1"/>
        <v>232.36</v>
      </c>
      <c r="I38" s="1">
        <f t="shared" si="0"/>
        <v>270.27027027027032</v>
      </c>
      <c r="J38" s="1">
        <f t="shared" si="2"/>
        <v>1.1631531686618621</v>
      </c>
      <c r="K38" s="1">
        <v>5000</v>
      </c>
      <c r="L38" s="3">
        <f t="shared" si="3"/>
        <v>8867.5902702702697</v>
      </c>
      <c r="M38" s="9">
        <f t="shared" si="4"/>
        <v>8.2441097923538955E-3</v>
      </c>
      <c r="N38" s="17">
        <f t="shared" si="5"/>
        <v>1.3872550598824488E-3</v>
      </c>
      <c r="O38" s="10"/>
      <c r="P38" s="10"/>
      <c r="Q38" s="10"/>
    </row>
    <row r="39" spans="5:17" x14ac:dyDescent="0.3">
      <c r="E39" s="1">
        <v>3.14</v>
      </c>
      <c r="F39" s="1">
        <v>38</v>
      </c>
      <c r="G39" s="1">
        <f t="shared" si="8"/>
        <v>4534.16</v>
      </c>
      <c r="H39" s="1">
        <f t="shared" si="1"/>
        <v>238.64000000000001</v>
      </c>
      <c r="I39" s="1">
        <f t="shared" si="0"/>
        <v>263.15789473684214</v>
      </c>
      <c r="J39" s="1">
        <f t="shared" si="2"/>
        <v>1.1027400885720839</v>
      </c>
      <c r="K39" s="1">
        <v>5000</v>
      </c>
      <c r="L39" s="3">
        <f t="shared" si="3"/>
        <v>9331.4778947368413</v>
      </c>
      <c r="M39" s="9">
        <f t="shared" si="4"/>
        <v>7.8159184942745742E-3</v>
      </c>
      <c r="N39" s="17">
        <f t="shared" si="5"/>
        <v>1.3507483477802789E-3</v>
      </c>
      <c r="O39" s="10"/>
      <c r="P39" s="10"/>
      <c r="Q39" s="10"/>
    </row>
    <row r="40" spans="5:17" x14ac:dyDescent="0.3">
      <c r="E40" s="1">
        <v>3.14</v>
      </c>
      <c r="F40" s="1">
        <v>39</v>
      </c>
      <c r="G40" s="1">
        <f t="shared" si="8"/>
        <v>4775.9400000000005</v>
      </c>
      <c r="H40" s="1">
        <f t="shared" si="1"/>
        <v>244.92000000000002</v>
      </c>
      <c r="I40" s="1">
        <f t="shared" si="0"/>
        <v>256.41025641025641</v>
      </c>
      <c r="J40" s="1">
        <f t="shared" si="2"/>
        <v>1.0469143247193222</v>
      </c>
      <c r="K40" s="1">
        <v>5000</v>
      </c>
      <c r="L40" s="3">
        <f t="shared" si="3"/>
        <v>9808.2902564102569</v>
      </c>
      <c r="M40" s="9">
        <f t="shared" si="4"/>
        <v>7.4202408321712579E-3</v>
      </c>
      <c r="N40" s="17">
        <f t="shared" si="5"/>
        <v>1.316113774760272E-3</v>
      </c>
      <c r="O40" s="10"/>
      <c r="P40" s="10"/>
      <c r="Q40" s="10"/>
    </row>
    <row r="41" spans="5:17" x14ac:dyDescent="0.3">
      <c r="E41" s="1">
        <v>3.14</v>
      </c>
      <c r="F41" s="1">
        <v>40</v>
      </c>
      <c r="G41" s="1">
        <f t="shared" si="8"/>
        <v>5024</v>
      </c>
      <c r="H41" s="1">
        <f t="shared" si="1"/>
        <v>251.20000000000002</v>
      </c>
      <c r="I41" s="1">
        <f t="shared" si="0"/>
        <v>250</v>
      </c>
      <c r="J41" s="1">
        <f t="shared" si="2"/>
        <v>0.99522292993630568</v>
      </c>
      <c r="K41" s="1">
        <v>5000</v>
      </c>
      <c r="L41" s="3">
        <f t="shared" si="3"/>
        <v>10298</v>
      </c>
      <c r="M41" s="9">
        <f t="shared" si="4"/>
        <v>7.053866441082802E-3</v>
      </c>
      <c r="N41" s="17">
        <f t="shared" si="5"/>
        <v>1.283210930391265E-3</v>
      </c>
      <c r="O41" s="10"/>
      <c r="P41" s="10"/>
      <c r="Q41" s="10"/>
    </row>
    <row r="42" spans="5:17" x14ac:dyDescent="0.3">
      <c r="E42" s="1">
        <v>3.14</v>
      </c>
      <c r="F42" s="1">
        <v>41</v>
      </c>
      <c r="G42" s="1">
        <f t="shared" si="8"/>
        <v>5278.34</v>
      </c>
      <c r="H42" s="1">
        <f t="shared" si="1"/>
        <v>257.48</v>
      </c>
      <c r="I42" s="1">
        <f t="shared" si="0"/>
        <v>243.90243902439025</v>
      </c>
      <c r="J42" s="1">
        <f t="shared" si="2"/>
        <v>0.94726751213449678</v>
      </c>
      <c r="K42" s="1">
        <v>5000</v>
      </c>
      <c r="L42" s="3">
        <f t="shared" si="3"/>
        <v>10800.582439024391</v>
      </c>
      <c r="M42" s="9">
        <f t="shared" si="4"/>
        <v>6.7139716274434756E-3</v>
      </c>
      <c r="N42" s="17">
        <f t="shared" si="5"/>
        <v>1.2519131028207466E-3</v>
      </c>
      <c r="O42" s="10"/>
      <c r="P42" s="10"/>
      <c r="Q42" s="10"/>
    </row>
    <row r="43" spans="5:17" x14ac:dyDescent="0.3">
      <c r="E43" s="1">
        <v>3.14</v>
      </c>
      <c r="F43" s="1">
        <v>42</v>
      </c>
      <c r="G43" s="1">
        <f t="shared" si="8"/>
        <v>5538.96</v>
      </c>
      <c r="H43" s="1">
        <f t="shared" si="1"/>
        <v>263.76</v>
      </c>
      <c r="I43" s="1">
        <f t="shared" si="0"/>
        <v>238.09523809523807</v>
      </c>
      <c r="J43" s="1">
        <f t="shared" si="2"/>
        <v>0.90269653508961967</v>
      </c>
      <c r="K43" s="1">
        <v>5000</v>
      </c>
      <c r="L43" s="3">
        <f t="shared" si="3"/>
        <v>11316.015238095239</v>
      </c>
      <c r="M43" s="9">
        <f t="shared" si="4"/>
        <v>6.3980647991680739E-3</v>
      </c>
      <c r="N43" s="17">
        <f t="shared" si="5"/>
        <v>1.2221056479916807E-3</v>
      </c>
      <c r="O43" s="10"/>
      <c r="P43" s="10"/>
      <c r="Q43" s="10"/>
    </row>
    <row r="44" spans="5:17" x14ac:dyDescent="0.3">
      <c r="E44" s="1">
        <v>3.14</v>
      </c>
      <c r="F44" s="1">
        <v>43</v>
      </c>
      <c r="G44" s="1">
        <f t="shared" si="8"/>
        <v>5805.8600000000006</v>
      </c>
      <c r="H44" s="1">
        <f t="shared" si="1"/>
        <v>270.04000000000002</v>
      </c>
      <c r="I44" s="1">
        <f t="shared" si="0"/>
        <v>232.55813953488371</v>
      </c>
      <c r="J44" s="1">
        <f t="shared" si="2"/>
        <v>0.86119885770583504</v>
      </c>
      <c r="K44" s="1">
        <v>5000</v>
      </c>
      <c r="L44" s="3">
        <f t="shared" si="3"/>
        <v>11844.278139534885</v>
      </c>
      <c r="M44" s="9">
        <f t="shared" si="4"/>
        <v>6.1039406737330897E-3</v>
      </c>
      <c r="N44" s="17">
        <f t="shared" si="5"/>
        <v>1.193684586410479E-3</v>
      </c>
      <c r="O44" s="10"/>
      <c r="P44" s="10"/>
      <c r="Q44" s="10"/>
    </row>
    <row r="45" spans="5:17" x14ac:dyDescent="0.3">
      <c r="E45" s="1">
        <v>3.14</v>
      </c>
      <c r="F45" s="1">
        <v>44</v>
      </c>
      <c r="G45" s="1">
        <f t="shared" si="8"/>
        <v>6079.04</v>
      </c>
      <c r="H45" s="1">
        <f t="shared" si="1"/>
        <v>276.32</v>
      </c>
      <c r="I45" s="1">
        <f t="shared" si="0"/>
        <v>227.27272727272728</v>
      </c>
      <c r="J45" s="1">
        <f t="shared" si="2"/>
        <v>0.8224982892035585</v>
      </c>
      <c r="K45" s="1">
        <v>5000</v>
      </c>
      <c r="L45" s="3">
        <f t="shared" si="3"/>
        <v>12385.352727272728</v>
      </c>
      <c r="M45" s="9">
        <f t="shared" si="4"/>
        <v>5.8296416868452916E-3</v>
      </c>
      <c r="N45" s="17">
        <f t="shared" si="5"/>
        <v>1.1665553912647865E-3</v>
      </c>
      <c r="O45" s="10"/>
      <c r="P45" s="10"/>
      <c r="Q45" s="10"/>
    </row>
    <row r="46" spans="5:17" x14ac:dyDescent="0.3">
      <c r="E46" s="1">
        <v>3.14</v>
      </c>
      <c r="F46" s="1">
        <v>45</v>
      </c>
      <c r="G46" s="1">
        <f t="shared" si="8"/>
        <v>6358.5</v>
      </c>
      <c r="H46" s="1">
        <f t="shared" si="1"/>
        <v>282.60000000000002</v>
      </c>
      <c r="I46" s="1">
        <f t="shared" si="0"/>
        <v>222.22222222222226</v>
      </c>
      <c r="J46" s="1">
        <f t="shared" si="2"/>
        <v>0.78634898167806877</v>
      </c>
      <c r="K46" s="1">
        <v>5000</v>
      </c>
      <c r="L46" s="3">
        <f t="shared" si="3"/>
        <v>12939.222222222223</v>
      </c>
      <c r="M46" s="9">
        <f t="shared" si="4"/>
        <v>5.5734253361641893E-3</v>
      </c>
      <c r="N46" s="17">
        <f t="shared" si="5"/>
        <v>1.140631938125569E-3</v>
      </c>
      <c r="O46" s="10"/>
      <c r="P46" s="10"/>
      <c r="Q46" s="10"/>
    </row>
    <row r="47" spans="5:17" x14ac:dyDescent="0.3">
      <c r="E47" s="1">
        <v>3.14</v>
      </c>
      <c r="F47" s="1">
        <v>46</v>
      </c>
      <c r="G47" s="1">
        <f t="shared" si="8"/>
        <v>6644.2400000000007</v>
      </c>
      <c r="H47" s="1">
        <f t="shared" si="1"/>
        <v>288.88</v>
      </c>
      <c r="I47" s="1">
        <f t="shared" si="0"/>
        <v>217.39130434782606</v>
      </c>
      <c r="J47" s="1">
        <f t="shared" si="2"/>
        <v>0.75253151601989088</v>
      </c>
      <c r="K47" s="1">
        <v>5000</v>
      </c>
      <c r="L47" s="3">
        <f t="shared" si="3"/>
        <v>13505.871304347827</v>
      </c>
      <c r="M47" s="9">
        <f t="shared" si="4"/>
        <v>5.3337364393820806E-3</v>
      </c>
      <c r="N47" s="17">
        <f t="shared" si="5"/>
        <v>1.1158355916445781E-3</v>
      </c>
      <c r="O47" s="10"/>
      <c r="P47" s="10"/>
      <c r="Q47" s="10"/>
    </row>
    <row r="48" spans="5:17" x14ac:dyDescent="0.3">
      <c r="E48" s="1">
        <v>3.14</v>
      </c>
      <c r="F48" s="1">
        <v>47</v>
      </c>
      <c r="G48" s="1">
        <f t="shared" si="8"/>
        <v>6936.26</v>
      </c>
      <c r="H48" s="1">
        <f t="shared" si="1"/>
        <v>295.16000000000003</v>
      </c>
      <c r="I48" s="1">
        <f t="shared" si="0"/>
        <v>212.76595744680853</v>
      </c>
      <c r="J48" s="1">
        <f t="shared" si="2"/>
        <v>0.7208495644626931</v>
      </c>
      <c r="K48" s="1">
        <v>5000</v>
      </c>
      <c r="L48" s="3">
        <f t="shared" si="3"/>
        <v>14085.285957446809</v>
      </c>
      <c r="M48" s="9">
        <f t="shared" si="4"/>
        <v>5.109183479281341E-3</v>
      </c>
      <c r="N48" s="17">
        <f t="shared" si="5"/>
        <v>1.0920944088436298E-3</v>
      </c>
      <c r="O48" s="10"/>
      <c r="P48" s="10"/>
      <c r="Q48" s="10"/>
    </row>
    <row r="49" spans="5:17" x14ac:dyDescent="0.3">
      <c r="E49" s="1">
        <v>3.14</v>
      </c>
      <c r="F49" s="1">
        <v>48</v>
      </c>
      <c r="G49" s="1">
        <f t="shared" si="8"/>
        <v>7234.56</v>
      </c>
      <c r="H49" s="1">
        <f t="shared" si="1"/>
        <v>301.44</v>
      </c>
      <c r="I49" s="1">
        <f t="shared" si="0"/>
        <v>208.33333333333334</v>
      </c>
      <c r="J49" s="1">
        <f t="shared" si="2"/>
        <v>0.69112703467799008</v>
      </c>
      <c r="K49" s="1">
        <v>5000</v>
      </c>
      <c r="L49" s="3">
        <f t="shared" si="3"/>
        <v>14677.453333333335</v>
      </c>
      <c r="M49" s="9">
        <f t="shared" si="4"/>
        <v>4.898518361863057E-3</v>
      </c>
      <c r="N49" s="17">
        <f t="shared" si="5"/>
        <v>1.0693424419927207E-3</v>
      </c>
      <c r="O49" s="10"/>
      <c r="P49" s="10"/>
      <c r="Q49" s="10"/>
    </row>
    <row r="50" spans="5:17" x14ac:dyDescent="0.3">
      <c r="E50" s="1">
        <v>3.14</v>
      </c>
      <c r="F50" s="1">
        <v>49</v>
      </c>
      <c r="G50" s="1">
        <f t="shared" si="8"/>
        <v>7539.14</v>
      </c>
      <c r="H50" s="1">
        <f t="shared" si="1"/>
        <v>307.72000000000003</v>
      </c>
      <c r="I50" s="1">
        <f t="shared" si="0"/>
        <v>204.08163265306123</v>
      </c>
      <c r="J50" s="1">
        <f t="shared" si="2"/>
        <v>0.66320561761686347</v>
      </c>
      <c r="K50" s="1">
        <v>5000</v>
      </c>
      <c r="L50" s="3">
        <f t="shared" si="3"/>
        <v>15282.361632653063</v>
      </c>
      <c r="M50" s="9">
        <f t="shared" si="4"/>
        <v>4.700619036123484E-3</v>
      </c>
      <c r="N50" s="17">
        <f t="shared" si="5"/>
        <v>1.0475191268500123E-3</v>
      </c>
      <c r="O50" s="10"/>
      <c r="P50" s="10"/>
      <c r="Q50" s="10"/>
    </row>
    <row r="51" spans="5:17" x14ac:dyDescent="0.3">
      <c r="E51" s="1">
        <v>3.14</v>
      </c>
      <c r="F51" s="1">
        <v>50</v>
      </c>
      <c r="G51" s="1">
        <f t="shared" si="8"/>
        <v>7850</v>
      </c>
      <c r="H51" s="1">
        <f t="shared" si="1"/>
        <v>314</v>
      </c>
      <c r="I51" s="1">
        <f t="shared" si="0"/>
        <v>200</v>
      </c>
      <c r="J51" s="1">
        <f t="shared" si="2"/>
        <v>0.63694267515923564</v>
      </c>
      <c r="K51" s="1">
        <v>5000</v>
      </c>
      <c r="L51" s="3">
        <f t="shared" si="3"/>
        <v>15900</v>
      </c>
      <c r="M51" s="9">
        <f t="shared" si="4"/>
        <v>4.5144745222929928E-3</v>
      </c>
      <c r="N51" s="17">
        <f t="shared" si="5"/>
        <v>1.0265687443130119E-3</v>
      </c>
      <c r="O51" s="10"/>
      <c r="P51" s="10"/>
      <c r="Q51" s="10"/>
    </row>
    <row r="52" spans="5:17" x14ac:dyDescent="0.3">
      <c r="E52" s="1">
        <v>3.14</v>
      </c>
      <c r="F52" s="1">
        <v>51</v>
      </c>
      <c r="G52" s="1">
        <f t="shared" si="8"/>
        <v>8167.14</v>
      </c>
      <c r="H52" s="1">
        <f t="shared" si="1"/>
        <v>320.28000000000003</v>
      </c>
      <c r="I52" s="1">
        <f t="shared" si="0"/>
        <v>196.07843137254903</v>
      </c>
      <c r="J52" s="1">
        <f t="shared" si="2"/>
        <v>0.61220941480126456</v>
      </c>
      <c r="K52" s="1">
        <v>5000</v>
      </c>
      <c r="L52" s="3">
        <f t="shared" si="3"/>
        <v>16530.358431372551</v>
      </c>
      <c r="M52" s="9">
        <f t="shared" si="4"/>
        <v>4.339171974522292E-3</v>
      </c>
      <c r="N52" s="17">
        <f t="shared" si="5"/>
        <v>1.0064399454049139E-3</v>
      </c>
      <c r="O52" s="10"/>
      <c r="P52" s="10"/>
      <c r="Q52" s="10"/>
    </row>
    <row r="53" spans="5:17" x14ac:dyDescent="0.3">
      <c r="E53" s="1">
        <v>3.14</v>
      </c>
      <c r="F53" s="1">
        <v>52</v>
      </c>
      <c r="G53" s="1">
        <f t="shared" si="8"/>
        <v>8490.56</v>
      </c>
      <c r="H53" s="1">
        <f t="shared" si="1"/>
        <v>326.56</v>
      </c>
      <c r="I53" s="1">
        <f t="shared" si="0"/>
        <v>192.30769230769232</v>
      </c>
      <c r="J53" s="1">
        <f t="shared" si="2"/>
        <v>0.58888930765461878</v>
      </c>
      <c r="K53" s="1">
        <v>5000</v>
      </c>
      <c r="L53" s="3">
        <f t="shared" si="3"/>
        <v>17173.42769230769</v>
      </c>
      <c r="M53" s="9">
        <f t="shared" si="4"/>
        <v>4.173885468096333E-3</v>
      </c>
      <c r="N53" s="17">
        <f t="shared" si="5"/>
        <v>9.8708533107020376E-4</v>
      </c>
      <c r="O53" s="10"/>
      <c r="P53" s="10"/>
      <c r="Q53" s="10"/>
    </row>
    <row r="54" spans="5:17" x14ac:dyDescent="0.3">
      <c r="E54" s="1">
        <v>3.14</v>
      </c>
      <c r="F54" s="1">
        <v>53</v>
      </c>
      <c r="G54" s="1">
        <f t="shared" si="8"/>
        <v>8820.26</v>
      </c>
      <c r="H54" s="1">
        <f t="shared" si="1"/>
        <v>332.84000000000003</v>
      </c>
      <c r="I54" s="1">
        <f t="shared" si="0"/>
        <v>188.6792452830189</v>
      </c>
      <c r="J54" s="1">
        <f t="shared" si="2"/>
        <v>0.56687671338486623</v>
      </c>
      <c r="K54" s="1">
        <v>5000</v>
      </c>
      <c r="L54" s="3">
        <f t="shared" si="3"/>
        <v>17829.19924528302</v>
      </c>
      <c r="M54" s="9">
        <f t="shared" si="4"/>
        <v>4.0178662533757502E-3</v>
      </c>
      <c r="N54" s="17">
        <f t="shared" si="5"/>
        <v>9.6846107954057746E-4</v>
      </c>
      <c r="O54" s="10"/>
      <c r="P54" s="10"/>
      <c r="Q54" s="10"/>
    </row>
    <row r="55" spans="5:17" x14ac:dyDescent="0.3">
      <c r="E55" s="1">
        <v>3.14</v>
      </c>
      <c r="F55" s="1">
        <v>54</v>
      </c>
      <c r="G55" s="1">
        <f t="shared" si="8"/>
        <v>9156.24</v>
      </c>
      <c r="H55" s="1">
        <f t="shared" si="1"/>
        <v>339.12</v>
      </c>
      <c r="I55" s="1">
        <f t="shared" si="0"/>
        <v>185.18518518518519</v>
      </c>
      <c r="J55" s="1">
        <f t="shared" si="2"/>
        <v>0.54607568172088106</v>
      </c>
      <c r="K55" s="1">
        <v>5000</v>
      </c>
      <c r="L55" s="3">
        <f t="shared" si="3"/>
        <v>18497.665185185186</v>
      </c>
      <c r="M55" s="9">
        <f t="shared" si="4"/>
        <v>3.8704342612251321E-3</v>
      </c>
      <c r="N55" s="17">
        <f t="shared" si="5"/>
        <v>9.5052661510464076E-4</v>
      </c>
      <c r="O55" s="10"/>
      <c r="P55" s="10"/>
      <c r="Q55" s="10"/>
    </row>
    <row r="56" spans="5:17" x14ac:dyDescent="0.3">
      <c r="E56" s="1">
        <v>3.14</v>
      </c>
      <c r="F56" s="1">
        <v>55</v>
      </c>
      <c r="G56" s="1">
        <f t="shared" si="8"/>
        <v>9498.5</v>
      </c>
      <c r="H56" s="1">
        <f t="shared" si="1"/>
        <v>345.40000000000003</v>
      </c>
      <c r="I56" s="1">
        <f t="shared" si="0"/>
        <v>181.81818181818184</v>
      </c>
      <c r="J56" s="1">
        <f t="shared" si="2"/>
        <v>0.52639890509027742</v>
      </c>
      <c r="K56" s="1">
        <v>5000</v>
      </c>
      <c r="L56" s="3">
        <f t="shared" si="3"/>
        <v>19178.81818181818</v>
      </c>
      <c r="M56" s="9">
        <f t="shared" si="4"/>
        <v>3.7309706795809862E-3</v>
      </c>
      <c r="N56" s="17">
        <f t="shared" si="5"/>
        <v>9.332443130118292E-4</v>
      </c>
      <c r="O56" s="10"/>
      <c r="P56" s="10"/>
      <c r="Q56" s="10"/>
    </row>
    <row r="57" spans="5:17" x14ac:dyDescent="0.3">
      <c r="E57" s="1">
        <v>3.14</v>
      </c>
      <c r="F57" s="1">
        <v>56</v>
      </c>
      <c r="G57" s="1">
        <f t="shared" si="8"/>
        <v>9847.0400000000009</v>
      </c>
      <c r="H57" s="1">
        <f t="shared" si="1"/>
        <v>351.68</v>
      </c>
      <c r="I57" s="1">
        <f t="shared" si="0"/>
        <v>178.57142857142856</v>
      </c>
      <c r="J57" s="1">
        <f t="shared" si="2"/>
        <v>0.50776680098791105</v>
      </c>
      <c r="K57" s="1">
        <v>5000</v>
      </c>
      <c r="L57" s="3">
        <f t="shared" si="3"/>
        <v>19872.651428571429</v>
      </c>
      <c r="M57" s="9">
        <f t="shared" si="4"/>
        <v>3.5989114495320416E-3</v>
      </c>
      <c r="N57" s="17">
        <f t="shared" si="5"/>
        <v>9.1657923599376071E-4</v>
      </c>
      <c r="O57" s="10"/>
      <c r="P57" s="10"/>
      <c r="Q57" s="10"/>
    </row>
    <row r="58" spans="5:17" x14ac:dyDescent="0.3">
      <c r="E58" s="1">
        <v>3.14</v>
      </c>
      <c r="F58" s="1">
        <v>57</v>
      </c>
      <c r="G58" s="1">
        <f t="shared" si="8"/>
        <v>10201.86</v>
      </c>
      <c r="H58" s="1">
        <f t="shared" si="1"/>
        <v>357.96000000000004</v>
      </c>
      <c r="I58" s="1">
        <f t="shared" si="0"/>
        <v>175.43859649122808</v>
      </c>
      <c r="J58" s="1">
        <f t="shared" si="2"/>
        <v>0.49010670603203726</v>
      </c>
      <c r="K58" s="1">
        <v>5000</v>
      </c>
      <c r="L58" s="3">
        <f t="shared" si="3"/>
        <v>20579.15859649123</v>
      </c>
      <c r="M58" s="9">
        <f t="shared" si="4"/>
        <v>3.4737415530109207E-3</v>
      </c>
      <c r="N58" s="17">
        <f t="shared" si="5"/>
        <v>9.00498898520186E-4</v>
      </c>
      <c r="O58" s="10"/>
      <c r="P58" s="10"/>
      <c r="Q58" s="10"/>
    </row>
    <row r="59" spans="5:17" x14ac:dyDescent="0.3">
      <c r="E59" s="1">
        <v>3.14</v>
      </c>
      <c r="F59" s="1">
        <v>58</v>
      </c>
      <c r="G59" s="1">
        <f t="shared" si="8"/>
        <v>10562.960000000001</v>
      </c>
      <c r="H59" s="1">
        <f t="shared" si="1"/>
        <v>364.24</v>
      </c>
      <c r="I59" s="1">
        <f t="shared" si="0"/>
        <v>172.41379310344828</v>
      </c>
      <c r="J59" s="1">
        <f t="shared" si="2"/>
        <v>0.47335216643819533</v>
      </c>
      <c r="K59" s="1">
        <v>5000</v>
      </c>
      <c r="L59" s="3">
        <f t="shared" si="3"/>
        <v>21298.333793103451</v>
      </c>
      <c r="M59" s="9">
        <f t="shared" si="4"/>
        <v>3.354989983868158E-3</v>
      </c>
      <c r="N59" s="17">
        <f t="shared" si="5"/>
        <v>8.8497305544225186E-4</v>
      </c>
      <c r="O59" s="10"/>
      <c r="P59" s="10"/>
      <c r="Q59" s="10"/>
    </row>
    <row r="60" spans="5:17" x14ac:dyDescent="0.3">
      <c r="E60" s="1">
        <v>3.14</v>
      </c>
      <c r="F60" s="1">
        <v>59</v>
      </c>
      <c r="G60" s="1">
        <f t="shared" si="8"/>
        <v>10930.34</v>
      </c>
      <c r="H60" s="1">
        <f t="shared" si="1"/>
        <v>370.52000000000004</v>
      </c>
      <c r="I60" s="1">
        <f t="shared" si="0"/>
        <v>169.49152542372883</v>
      </c>
      <c r="J60" s="1">
        <f t="shared" si="2"/>
        <v>0.45744231195003998</v>
      </c>
      <c r="K60" s="1">
        <v>5000</v>
      </c>
      <c r="L60" s="3">
        <f t="shared" si="3"/>
        <v>22030.171525423728</v>
      </c>
      <c r="M60" s="9">
        <f t="shared" si="4"/>
        <v>3.2422253104660969E-3</v>
      </c>
      <c r="N60" s="17">
        <f t="shared" si="5"/>
        <v>8.6997351212967126E-4</v>
      </c>
      <c r="O60" s="10"/>
      <c r="P60" s="10"/>
      <c r="Q60" s="10"/>
    </row>
    <row r="61" spans="5:17" x14ac:dyDescent="0.3">
      <c r="E61" s="1">
        <v>3.14</v>
      </c>
      <c r="F61" s="1">
        <v>60</v>
      </c>
      <c r="G61" s="1">
        <f t="shared" si="8"/>
        <v>11304</v>
      </c>
      <c r="H61" s="1">
        <f t="shared" si="1"/>
        <v>376.8</v>
      </c>
      <c r="I61" s="1">
        <f t="shared" si="0"/>
        <v>166.66666666666666</v>
      </c>
      <c r="J61" s="1">
        <f t="shared" si="2"/>
        <v>0.44232130219391363</v>
      </c>
      <c r="K61" s="1">
        <v>5000</v>
      </c>
      <c r="L61" s="3">
        <f t="shared" si="3"/>
        <v>22774.666666666668</v>
      </c>
      <c r="M61" s="9">
        <f t="shared" si="4"/>
        <v>3.1350517515923567E-3</v>
      </c>
      <c r="N61" s="17">
        <f t="shared" si="5"/>
        <v>8.5547395359417665E-4</v>
      </c>
      <c r="O61" s="10"/>
      <c r="P61" s="10"/>
      <c r="Q61" s="10"/>
    </row>
    <row r="62" spans="5:17" x14ac:dyDescent="0.3">
      <c r="E62" s="1">
        <v>3.14</v>
      </c>
      <c r="F62" s="1">
        <v>61</v>
      </c>
      <c r="G62" s="1">
        <f t="shared" si="8"/>
        <v>11683.94</v>
      </c>
      <c r="H62" s="1">
        <f t="shared" si="1"/>
        <v>383.08000000000004</v>
      </c>
      <c r="I62" s="1">
        <f t="shared" si="0"/>
        <v>163.9344262295082</v>
      </c>
      <c r="J62" s="1">
        <f t="shared" si="2"/>
        <v>0.42793783603818575</v>
      </c>
      <c r="K62" s="1">
        <v>5000</v>
      </c>
      <c r="L62" s="3">
        <f t="shared" si="3"/>
        <v>23531.81442622951</v>
      </c>
      <c r="M62" s="9">
        <f t="shared" si="4"/>
        <v>3.0331056989337502E-3</v>
      </c>
      <c r="N62" s="17">
        <f t="shared" si="5"/>
        <v>8.414497904205017E-4</v>
      </c>
      <c r="O62" s="10"/>
      <c r="P62" s="10"/>
      <c r="Q62" s="10"/>
    </row>
    <row r="63" spans="5:17" x14ac:dyDescent="0.3">
      <c r="E63" s="1">
        <v>3.14</v>
      </c>
      <c r="F63" s="1">
        <v>62</v>
      </c>
      <c r="G63" s="1">
        <f t="shared" si="8"/>
        <v>12070.16</v>
      </c>
      <c r="H63" s="1">
        <f t="shared" si="1"/>
        <v>389.36</v>
      </c>
      <c r="I63" s="1">
        <f t="shared" si="0"/>
        <v>161.29032258064515</v>
      </c>
      <c r="J63" s="1">
        <f t="shared" si="2"/>
        <v>0.41424471589440404</v>
      </c>
      <c r="K63" s="1">
        <v>5000</v>
      </c>
      <c r="L63" s="3">
        <f t="shared" si="3"/>
        <v>24301.610322580644</v>
      </c>
      <c r="M63" s="9">
        <f t="shared" si="4"/>
        <v>2.9360526289626656E-3</v>
      </c>
      <c r="N63" s="17">
        <f t="shared" si="5"/>
        <v>8.2787801960726773E-4</v>
      </c>
      <c r="O63" s="10"/>
      <c r="P63" s="10"/>
      <c r="Q63" s="10"/>
    </row>
    <row r="64" spans="5:17" x14ac:dyDescent="0.3">
      <c r="E64" s="1">
        <v>3.14</v>
      </c>
      <c r="F64" s="1">
        <v>63</v>
      </c>
      <c r="G64" s="1">
        <f t="shared" si="8"/>
        <v>12462.66</v>
      </c>
      <c r="H64" s="1">
        <f t="shared" si="1"/>
        <v>395.64000000000004</v>
      </c>
      <c r="I64" s="1">
        <f t="shared" si="0"/>
        <v>158.73015873015876</v>
      </c>
      <c r="J64" s="1">
        <f t="shared" si="2"/>
        <v>0.40119846003983101</v>
      </c>
      <c r="K64" s="1">
        <v>5000</v>
      </c>
      <c r="L64" s="3">
        <f t="shared" si="3"/>
        <v>25084.050158730159</v>
      </c>
      <c r="M64" s="9">
        <f t="shared" si="4"/>
        <v>2.843584355185811E-3</v>
      </c>
      <c r="N64" s="17">
        <f t="shared" si="5"/>
        <v>8.1473709866112078E-4</v>
      </c>
      <c r="O64" s="10"/>
      <c r="P64" s="10"/>
      <c r="Q64" s="10"/>
    </row>
    <row r="65" spans="5:17" x14ac:dyDescent="0.3">
      <c r="E65" s="1">
        <v>3.14</v>
      </c>
      <c r="F65" s="1">
        <v>64</v>
      </c>
      <c r="G65" s="1">
        <f t="shared" si="8"/>
        <v>12861.44</v>
      </c>
      <c r="H65" s="1">
        <f t="shared" si="1"/>
        <v>401.92</v>
      </c>
      <c r="I65" s="1">
        <f t="shared" si="0"/>
        <v>156.25</v>
      </c>
      <c r="J65" s="1">
        <f t="shared" si="2"/>
        <v>0.38875895700636942</v>
      </c>
      <c r="K65" s="1">
        <v>5000</v>
      </c>
      <c r="L65" s="3">
        <f t="shared" si="3"/>
        <v>25879.13</v>
      </c>
      <c r="M65" s="9">
        <f t="shared" si="4"/>
        <v>2.7554165785479692E-3</v>
      </c>
      <c r="N65" s="17">
        <f t="shared" si="5"/>
        <v>8.0200683149454061E-4</v>
      </c>
      <c r="O65" s="10"/>
      <c r="P65" s="10"/>
      <c r="Q65" s="10"/>
    </row>
    <row r="66" spans="5:17" x14ac:dyDescent="0.3">
      <c r="E66" s="1">
        <v>3.14</v>
      </c>
      <c r="F66" s="1">
        <v>65</v>
      </c>
      <c r="G66" s="1">
        <f t="shared" si="8"/>
        <v>13266.5</v>
      </c>
      <c r="H66" s="1">
        <f t="shared" si="1"/>
        <v>408.2</v>
      </c>
      <c r="I66" s="1">
        <f t="shared" ref="I66:I129" si="10">H66*J66</f>
        <v>153.84615384615384</v>
      </c>
      <c r="J66" s="1">
        <f t="shared" si="2"/>
        <v>0.37688915689895602</v>
      </c>
      <c r="K66" s="1">
        <v>5000</v>
      </c>
      <c r="L66" s="3">
        <f t="shared" si="3"/>
        <v>26686.846153846152</v>
      </c>
      <c r="M66" s="9">
        <f t="shared" si="4"/>
        <v>2.6712866995816523E-3</v>
      </c>
      <c r="N66" s="17">
        <f t="shared" si="5"/>
        <v>7.8966826485616303E-4</v>
      </c>
      <c r="O66" s="10"/>
      <c r="P66" s="10"/>
      <c r="Q66" s="10"/>
    </row>
    <row r="67" spans="5:17" x14ac:dyDescent="0.3">
      <c r="E67" s="1">
        <v>3.14</v>
      </c>
      <c r="F67" s="1">
        <v>66</v>
      </c>
      <c r="G67" s="1">
        <f t="shared" si="8"/>
        <v>13677.84</v>
      </c>
      <c r="H67" s="1">
        <f t="shared" ref="H67:H130" si="11">2*E67*F67</f>
        <v>414.48</v>
      </c>
      <c r="I67" s="1">
        <f t="shared" si="10"/>
        <v>151.5151515151515</v>
      </c>
      <c r="J67" s="1">
        <f t="shared" ref="J67:J130" si="12">K67/G67</f>
        <v>0.36555479520158152</v>
      </c>
      <c r="K67" s="1">
        <v>5000</v>
      </c>
      <c r="L67" s="3">
        <f t="shared" ref="L67:L130" si="13">(G67*2)+I67</f>
        <v>27507.195151515152</v>
      </c>
      <c r="M67" s="9">
        <f t="shared" ref="M67:M130" si="14">$C$8*J67*0.85*9.81*10^-6</f>
        <v>2.5909518608201298E-3</v>
      </c>
      <c r="N67" s="17">
        <f t="shared" ref="N67:N130" si="15">(1.05*$C$8*9.81*(J67*0.8-0)*F67)/(0.7*$C$17*10^6)</f>
        <v>7.777035941765242E-4</v>
      </c>
      <c r="O67" s="10"/>
      <c r="P67" s="10"/>
      <c r="Q67" s="10"/>
    </row>
    <row r="68" spans="5:17" x14ac:dyDescent="0.3">
      <c r="E68" s="1">
        <v>3.14</v>
      </c>
      <c r="F68" s="1">
        <v>67</v>
      </c>
      <c r="G68" s="1">
        <f t="shared" ref="G68:G131" si="16">E68*F68^2</f>
        <v>14095.460000000001</v>
      </c>
      <c r="H68" s="1">
        <f t="shared" si="11"/>
        <v>420.76</v>
      </c>
      <c r="I68" s="1">
        <f t="shared" si="10"/>
        <v>149.25373134328356</v>
      </c>
      <c r="J68" s="1">
        <f t="shared" si="12"/>
        <v>0.35472414522122725</v>
      </c>
      <c r="K68" s="1">
        <v>5000</v>
      </c>
      <c r="L68" s="3">
        <f t="shared" si="13"/>
        <v>28340.173731343286</v>
      </c>
      <c r="M68" s="9">
        <f t="shared" si="14"/>
        <v>2.5141871921881228E-3</v>
      </c>
      <c r="N68" s="17">
        <f t="shared" si="15"/>
        <v>7.6609607784553131E-4</v>
      </c>
      <c r="O68" s="10"/>
      <c r="P68" s="10"/>
      <c r="Q68" s="10"/>
    </row>
    <row r="69" spans="5:17" x14ac:dyDescent="0.3">
      <c r="E69" s="1">
        <v>3.14</v>
      </c>
      <c r="F69" s="1">
        <v>68</v>
      </c>
      <c r="G69" s="1">
        <f t="shared" si="16"/>
        <v>14519.36</v>
      </c>
      <c r="H69" s="1">
        <f t="shared" si="11"/>
        <v>427.04</v>
      </c>
      <c r="I69" s="1">
        <f t="shared" si="10"/>
        <v>147.05882352941177</v>
      </c>
      <c r="J69" s="1">
        <f t="shared" si="12"/>
        <v>0.34436779582571131</v>
      </c>
      <c r="K69" s="1">
        <v>5000</v>
      </c>
      <c r="L69" s="3">
        <f t="shared" si="13"/>
        <v>29185.778823529414</v>
      </c>
      <c r="M69" s="9">
        <f t="shared" si="14"/>
        <v>2.4407842356687897E-3</v>
      </c>
      <c r="N69" s="17">
        <f t="shared" si="15"/>
        <v>7.5482995905368526E-4</v>
      </c>
      <c r="O69" s="10"/>
      <c r="P69" s="10"/>
      <c r="Q69" s="10"/>
    </row>
    <row r="70" spans="5:17" x14ac:dyDescent="0.3">
      <c r="E70" s="1">
        <v>3.14</v>
      </c>
      <c r="F70" s="1">
        <v>69</v>
      </c>
      <c r="G70" s="1">
        <f t="shared" si="16"/>
        <v>14949.54</v>
      </c>
      <c r="H70" s="1">
        <f t="shared" si="11"/>
        <v>433.32</v>
      </c>
      <c r="I70" s="1">
        <f t="shared" si="10"/>
        <v>144.92753623188406</v>
      </c>
      <c r="J70" s="1">
        <f t="shared" si="12"/>
        <v>0.33445845156439596</v>
      </c>
      <c r="K70" s="1">
        <v>5000</v>
      </c>
      <c r="L70" s="3">
        <f t="shared" si="13"/>
        <v>30044.007536231886</v>
      </c>
      <c r="M70" s="9">
        <f t="shared" si="14"/>
        <v>2.3705495286142587E-3</v>
      </c>
      <c r="N70" s="17">
        <f t="shared" si="15"/>
        <v>7.438903944297189E-4</v>
      </c>
      <c r="O70" s="10"/>
      <c r="P70" s="10"/>
      <c r="Q70" s="10"/>
    </row>
    <row r="71" spans="5:17" x14ac:dyDescent="0.3">
      <c r="E71" s="1">
        <v>3.14</v>
      </c>
      <c r="F71" s="1">
        <v>70</v>
      </c>
      <c r="G71" s="1">
        <f t="shared" si="16"/>
        <v>15386</v>
      </c>
      <c r="H71" s="1">
        <f t="shared" si="11"/>
        <v>439.6</v>
      </c>
      <c r="I71" s="1">
        <f t="shared" si="10"/>
        <v>142.85714285714286</v>
      </c>
      <c r="J71" s="1">
        <f t="shared" si="12"/>
        <v>0.3249707526322631</v>
      </c>
      <c r="K71" s="1">
        <v>5000</v>
      </c>
      <c r="L71" s="3">
        <f t="shared" si="13"/>
        <v>30914.857142857141</v>
      </c>
      <c r="M71" s="9">
        <f t="shared" si="14"/>
        <v>2.3033033277005074E-3</v>
      </c>
      <c r="N71" s="17">
        <f t="shared" si="15"/>
        <v>7.3326338879500851E-4</v>
      </c>
      <c r="O71" s="10"/>
      <c r="P71" s="10"/>
      <c r="Q71" s="10"/>
    </row>
    <row r="72" spans="5:17" x14ac:dyDescent="0.3">
      <c r="E72" s="1">
        <v>3.14</v>
      </c>
      <c r="F72" s="1">
        <v>71</v>
      </c>
      <c r="G72" s="1">
        <f t="shared" si="16"/>
        <v>15828.74</v>
      </c>
      <c r="H72" s="1">
        <f t="shared" si="11"/>
        <v>445.88</v>
      </c>
      <c r="I72" s="1">
        <f t="shared" si="10"/>
        <v>140.84507042253523</v>
      </c>
      <c r="J72" s="1">
        <f t="shared" si="12"/>
        <v>0.31588111245746664</v>
      </c>
      <c r="K72" s="1">
        <v>5000</v>
      </c>
      <c r="L72" s="3">
        <f t="shared" si="13"/>
        <v>31798.325070422536</v>
      </c>
      <c r="M72" s="9">
        <f t="shared" si="14"/>
        <v>2.2388784577925978E-3</v>
      </c>
      <c r="N72" s="17">
        <f t="shared" si="15"/>
        <v>7.2293573543169879E-4</v>
      </c>
      <c r="O72" s="10"/>
      <c r="P72" s="10"/>
      <c r="Q72" s="10"/>
    </row>
    <row r="73" spans="5:17" x14ac:dyDescent="0.3">
      <c r="E73" s="1">
        <v>3.14</v>
      </c>
      <c r="F73" s="1">
        <v>72</v>
      </c>
      <c r="G73" s="1">
        <f t="shared" si="16"/>
        <v>16277.76</v>
      </c>
      <c r="H73" s="1">
        <f t="shared" si="11"/>
        <v>452.16</v>
      </c>
      <c r="I73" s="1">
        <f t="shared" si="10"/>
        <v>138.88888888888889</v>
      </c>
      <c r="J73" s="1">
        <f t="shared" si="12"/>
        <v>0.30716757096799557</v>
      </c>
      <c r="K73" s="1">
        <v>5000</v>
      </c>
      <c r="L73" s="3">
        <f t="shared" si="13"/>
        <v>32694.408888888891</v>
      </c>
      <c r="M73" s="9">
        <f t="shared" si="14"/>
        <v>2.1771192719391365E-3</v>
      </c>
      <c r="N73" s="17">
        <f t="shared" si="15"/>
        <v>7.1289496132848063E-4</v>
      </c>
      <c r="O73" s="10"/>
      <c r="P73" s="10"/>
      <c r="Q73" s="10"/>
    </row>
    <row r="74" spans="5:17" x14ac:dyDescent="0.3">
      <c r="E74" s="1">
        <v>3.14</v>
      </c>
      <c r="F74" s="1">
        <v>73</v>
      </c>
      <c r="G74" s="1">
        <f t="shared" si="16"/>
        <v>16733.060000000001</v>
      </c>
      <c r="H74" s="1">
        <f t="shared" si="11"/>
        <v>458.44</v>
      </c>
      <c r="I74" s="1">
        <f t="shared" si="10"/>
        <v>136.98630136986301</v>
      </c>
      <c r="J74" s="1">
        <f t="shared" si="12"/>
        <v>0.2988096618311295</v>
      </c>
      <c r="K74" s="1">
        <v>5000</v>
      </c>
      <c r="L74" s="3">
        <f t="shared" si="13"/>
        <v>33603.106301369866</v>
      </c>
      <c r="M74" s="9">
        <f t="shared" si="14"/>
        <v>2.1178807104020418E-3</v>
      </c>
      <c r="N74" s="17">
        <f t="shared" si="15"/>
        <v>7.0312927692672052E-4</v>
      </c>
      <c r="O74" s="10"/>
      <c r="P74" s="10"/>
      <c r="Q74" s="10"/>
    </row>
    <row r="75" spans="5:17" x14ac:dyDescent="0.3">
      <c r="E75" s="1">
        <v>3.14</v>
      </c>
      <c r="F75" s="1">
        <v>74</v>
      </c>
      <c r="G75" s="1">
        <f t="shared" si="16"/>
        <v>17194.64</v>
      </c>
      <c r="H75" s="1">
        <f t="shared" si="11"/>
        <v>464.72</v>
      </c>
      <c r="I75" s="1">
        <f t="shared" si="10"/>
        <v>135.13513513513516</v>
      </c>
      <c r="J75" s="1">
        <f t="shared" si="12"/>
        <v>0.29078829216546553</v>
      </c>
      <c r="K75" s="1">
        <v>5000</v>
      </c>
      <c r="L75" s="3">
        <f t="shared" si="13"/>
        <v>34524.415135135132</v>
      </c>
      <c r="M75" s="9">
        <f t="shared" si="14"/>
        <v>2.0610274480884739E-3</v>
      </c>
      <c r="N75" s="17">
        <f t="shared" si="15"/>
        <v>6.9362752994122441E-4</v>
      </c>
      <c r="O75" s="10"/>
      <c r="P75" s="10"/>
      <c r="Q75" s="10"/>
    </row>
    <row r="76" spans="5:17" x14ac:dyDescent="0.3">
      <c r="E76" s="1">
        <v>3.14</v>
      </c>
      <c r="F76" s="1">
        <v>75</v>
      </c>
      <c r="G76" s="1">
        <f t="shared" si="16"/>
        <v>17662.5</v>
      </c>
      <c r="H76" s="1">
        <f t="shared" si="11"/>
        <v>471</v>
      </c>
      <c r="I76" s="1">
        <f t="shared" si="10"/>
        <v>133.33333333333334</v>
      </c>
      <c r="J76" s="1">
        <f t="shared" si="12"/>
        <v>0.28308563340410475</v>
      </c>
      <c r="K76" s="1">
        <v>5000</v>
      </c>
      <c r="L76" s="3">
        <f t="shared" si="13"/>
        <v>35458.333333333336</v>
      </c>
      <c r="M76" s="9">
        <f t="shared" si="14"/>
        <v>2.0064331210191081E-3</v>
      </c>
      <c r="N76" s="17">
        <f t="shared" si="15"/>
        <v>6.843791628753414E-4</v>
      </c>
      <c r="O76" s="10"/>
      <c r="P76" s="10"/>
      <c r="Q76" s="10"/>
    </row>
    <row r="77" spans="5:17" x14ac:dyDescent="0.3">
      <c r="E77" s="1">
        <v>3.14</v>
      </c>
      <c r="F77" s="1">
        <v>76</v>
      </c>
      <c r="G77" s="1">
        <f t="shared" si="16"/>
        <v>18136.64</v>
      </c>
      <c r="H77" s="1">
        <f t="shared" si="11"/>
        <v>477.28000000000003</v>
      </c>
      <c r="I77" s="1">
        <f t="shared" si="10"/>
        <v>131.57894736842107</v>
      </c>
      <c r="J77" s="1">
        <f t="shared" si="12"/>
        <v>0.27568502214302099</v>
      </c>
      <c r="K77" s="1">
        <v>5000</v>
      </c>
      <c r="L77" s="3">
        <f t="shared" si="13"/>
        <v>36404.858947368419</v>
      </c>
      <c r="M77" s="9">
        <f t="shared" si="14"/>
        <v>1.9539796235686436E-3</v>
      </c>
      <c r="N77" s="17">
        <f t="shared" si="15"/>
        <v>6.7537417389013945E-4</v>
      </c>
      <c r="O77" s="10"/>
      <c r="P77" s="10"/>
      <c r="Q77" s="10"/>
    </row>
    <row r="78" spans="5:17" x14ac:dyDescent="0.3">
      <c r="E78" s="1">
        <v>3.14</v>
      </c>
      <c r="F78" s="1">
        <v>77</v>
      </c>
      <c r="G78" s="1">
        <f t="shared" si="16"/>
        <v>18617.060000000001</v>
      </c>
      <c r="H78" s="1">
        <f t="shared" si="11"/>
        <v>483.56</v>
      </c>
      <c r="I78" s="1">
        <f t="shared" si="10"/>
        <v>129.87012987012986</v>
      </c>
      <c r="J78" s="1">
        <f t="shared" si="12"/>
        <v>0.26857086994401907</v>
      </c>
      <c r="K78" s="1">
        <v>5000</v>
      </c>
      <c r="L78" s="3">
        <f t="shared" si="13"/>
        <v>37363.99012987013</v>
      </c>
      <c r="M78" s="9">
        <f t="shared" si="14"/>
        <v>1.9035564691739725E-3</v>
      </c>
      <c r="N78" s="17">
        <f t="shared" si="15"/>
        <v>6.6660308072273502E-4</v>
      </c>
      <c r="O78" s="10"/>
      <c r="P78" s="10"/>
      <c r="Q78" s="10"/>
    </row>
    <row r="79" spans="5:17" x14ac:dyDescent="0.3">
      <c r="E79" s="1">
        <v>3.14</v>
      </c>
      <c r="F79" s="1">
        <v>78</v>
      </c>
      <c r="G79" s="1">
        <f t="shared" si="16"/>
        <v>19103.760000000002</v>
      </c>
      <c r="H79" s="1">
        <f t="shared" si="11"/>
        <v>489.84000000000003</v>
      </c>
      <c r="I79" s="1">
        <f t="shared" si="10"/>
        <v>128.2051282051282</v>
      </c>
      <c r="J79" s="1">
        <f t="shared" si="12"/>
        <v>0.26172858117983056</v>
      </c>
      <c r="K79" s="1">
        <v>5000</v>
      </c>
      <c r="L79" s="3">
        <f t="shared" si="13"/>
        <v>38335.725128205129</v>
      </c>
      <c r="M79" s="9">
        <f t="shared" si="14"/>
        <v>1.8550602080428145E-3</v>
      </c>
      <c r="N79" s="17">
        <f t="shared" si="15"/>
        <v>6.5805688738013602E-4</v>
      </c>
      <c r="O79" s="10"/>
      <c r="P79" s="10"/>
      <c r="Q79" s="10"/>
    </row>
    <row r="80" spans="5:17" x14ac:dyDescent="0.3">
      <c r="E80" s="1">
        <v>3.14</v>
      </c>
      <c r="F80" s="1">
        <v>79</v>
      </c>
      <c r="G80" s="1">
        <f t="shared" si="16"/>
        <v>19596.740000000002</v>
      </c>
      <c r="H80" s="1">
        <f t="shared" si="11"/>
        <v>496.12</v>
      </c>
      <c r="I80" s="1">
        <f t="shared" si="10"/>
        <v>126.58227848101265</v>
      </c>
      <c r="J80" s="1">
        <f t="shared" si="12"/>
        <v>0.25514447811217578</v>
      </c>
      <c r="K80" s="1">
        <v>5000</v>
      </c>
      <c r="L80" s="3">
        <f t="shared" si="13"/>
        <v>39320.062278481018</v>
      </c>
      <c r="M80" s="9">
        <f t="shared" si="14"/>
        <v>1.8083938961276208E-3</v>
      </c>
      <c r="N80" s="17">
        <f t="shared" si="15"/>
        <v>6.4972705336266575E-4</v>
      </c>
      <c r="O80" s="10"/>
      <c r="P80" s="10"/>
      <c r="Q80" s="10"/>
    </row>
    <row r="81" spans="5:17" x14ac:dyDescent="0.3">
      <c r="E81" s="1">
        <v>3.14</v>
      </c>
      <c r="F81" s="1">
        <v>80</v>
      </c>
      <c r="G81" s="1">
        <f t="shared" si="16"/>
        <v>20096</v>
      </c>
      <c r="H81" s="1">
        <f t="shared" si="11"/>
        <v>502.40000000000003</v>
      </c>
      <c r="I81" s="1">
        <f t="shared" si="10"/>
        <v>125</v>
      </c>
      <c r="J81" s="1">
        <f t="shared" si="12"/>
        <v>0.24880573248407642</v>
      </c>
      <c r="K81" s="1">
        <v>5000</v>
      </c>
      <c r="L81" s="3">
        <f t="shared" si="13"/>
        <v>40317</v>
      </c>
      <c r="M81" s="9">
        <f t="shared" si="14"/>
        <v>1.7634666102707005E-3</v>
      </c>
      <c r="N81" s="17">
        <f t="shared" si="15"/>
        <v>6.4160546519563251E-4</v>
      </c>
      <c r="O81" s="10"/>
      <c r="P81" s="10"/>
      <c r="Q81" s="10"/>
    </row>
    <row r="82" spans="5:17" x14ac:dyDescent="0.3">
      <c r="E82" s="1">
        <v>3.14</v>
      </c>
      <c r="F82" s="1">
        <v>81</v>
      </c>
      <c r="G82" s="1">
        <f t="shared" si="16"/>
        <v>20601.54</v>
      </c>
      <c r="H82" s="1">
        <f t="shared" si="11"/>
        <v>508.68</v>
      </c>
      <c r="I82" s="1">
        <f t="shared" si="10"/>
        <v>123.45679012345678</v>
      </c>
      <c r="J82" s="1">
        <f t="shared" si="12"/>
        <v>0.24270030298705825</v>
      </c>
      <c r="K82" s="1">
        <v>5000</v>
      </c>
      <c r="L82" s="3">
        <f t="shared" si="13"/>
        <v>41326.536790123457</v>
      </c>
      <c r="M82" s="9">
        <f t="shared" si="14"/>
        <v>1.7201930049889475E-3</v>
      </c>
      <c r="N82" s="17">
        <f t="shared" si="15"/>
        <v>6.3368441006976051E-4</v>
      </c>
      <c r="O82" s="10"/>
      <c r="P82" s="10"/>
      <c r="Q82" s="10"/>
    </row>
    <row r="83" spans="5:17" x14ac:dyDescent="0.3">
      <c r="E83" s="1">
        <v>3.14</v>
      </c>
      <c r="F83" s="1">
        <v>82</v>
      </c>
      <c r="G83" s="1">
        <f t="shared" si="16"/>
        <v>21113.360000000001</v>
      </c>
      <c r="H83" s="1">
        <f t="shared" si="11"/>
        <v>514.96</v>
      </c>
      <c r="I83" s="1">
        <f t="shared" si="10"/>
        <v>121.95121951219512</v>
      </c>
      <c r="J83" s="1">
        <f t="shared" si="12"/>
        <v>0.2368168780336242</v>
      </c>
      <c r="K83" s="1">
        <v>5000</v>
      </c>
      <c r="L83" s="3">
        <f t="shared" si="13"/>
        <v>42348.671219512195</v>
      </c>
      <c r="M83" s="9">
        <f t="shared" si="14"/>
        <v>1.6784929068608689E-3</v>
      </c>
      <c r="N83" s="17">
        <f t="shared" si="15"/>
        <v>6.259565514103733E-4</v>
      </c>
      <c r="O83" s="10"/>
      <c r="P83" s="10"/>
      <c r="Q83" s="10"/>
    </row>
    <row r="84" spans="5:17" x14ac:dyDescent="0.3">
      <c r="E84" s="1">
        <v>3.14</v>
      </c>
      <c r="F84" s="1">
        <v>83</v>
      </c>
      <c r="G84" s="1">
        <f t="shared" si="16"/>
        <v>21631.46</v>
      </c>
      <c r="H84" s="1">
        <f t="shared" si="11"/>
        <v>521.24</v>
      </c>
      <c r="I84" s="1">
        <f t="shared" si="10"/>
        <v>120.48192771084338</v>
      </c>
      <c r="J84" s="1">
        <f t="shared" si="12"/>
        <v>0.23114482332676575</v>
      </c>
      <c r="K84" s="1">
        <v>5000</v>
      </c>
      <c r="L84" s="3">
        <f t="shared" si="13"/>
        <v>43383.401927710838</v>
      </c>
      <c r="M84" s="9">
        <f t="shared" si="14"/>
        <v>1.6382909429137008E-3</v>
      </c>
      <c r="N84" s="17">
        <f t="shared" si="15"/>
        <v>6.1841490621265794E-4</v>
      </c>
      <c r="O84" s="10"/>
      <c r="P84" s="10"/>
      <c r="Q84" s="10"/>
    </row>
    <row r="85" spans="5:17" x14ac:dyDescent="0.3">
      <c r="E85" s="1">
        <v>3.14</v>
      </c>
      <c r="F85" s="1">
        <v>84</v>
      </c>
      <c r="G85" s="1">
        <f t="shared" si="16"/>
        <v>22155.84</v>
      </c>
      <c r="H85" s="1">
        <f t="shared" si="11"/>
        <v>527.52</v>
      </c>
      <c r="I85" s="1">
        <f t="shared" si="10"/>
        <v>119.04761904761904</v>
      </c>
      <c r="J85" s="1">
        <f t="shared" si="12"/>
        <v>0.22567413377240492</v>
      </c>
      <c r="K85" s="1">
        <v>5000</v>
      </c>
      <c r="L85" s="3">
        <f t="shared" si="13"/>
        <v>44430.727619047619</v>
      </c>
      <c r="M85" s="9">
        <f t="shared" si="14"/>
        <v>1.5995161997920185E-3</v>
      </c>
      <c r="N85" s="17">
        <f t="shared" si="15"/>
        <v>6.1105282399584037E-4</v>
      </c>
      <c r="O85" s="10"/>
      <c r="P85" s="10"/>
      <c r="Q85" s="10"/>
    </row>
    <row r="86" spans="5:17" x14ac:dyDescent="0.3">
      <c r="E86" s="1">
        <v>3.14</v>
      </c>
      <c r="F86" s="1">
        <v>85</v>
      </c>
      <c r="G86" s="1">
        <f t="shared" si="16"/>
        <v>22686.5</v>
      </c>
      <c r="H86" s="1">
        <f t="shared" si="11"/>
        <v>533.80000000000007</v>
      </c>
      <c r="I86" s="1">
        <f t="shared" si="10"/>
        <v>117.64705882352943</v>
      </c>
      <c r="J86" s="1">
        <f t="shared" si="12"/>
        <v>0.22039538932845526</v>
      </c>
      <c r="K86" s="1">
        <v>5000</v>
      </c>
      <c r="L86" s="3">
        <f t="shared" si="13"/>
        <v>45490.647058823532</v>
      </c>
      <c r="M86" s="9">
        <f t="shared" si="14"/>
        <v>1.5621019108280256E-3</v>
      </c>
      <c r="N86" s="17">
        <f t="shared" si="15"/>
        <v>6.0386396724294823E-4</v>
      </c>
      <c r="O86" s="10"/>
      <c r="P86" s="10"/>
      <c r="Q86" s="10"/>
    </row>
    <row r="87" spans="5:17" x14ac:dyDescent="0.3">
      <c r="E87" s="1">
        <v>3.14</v>
      </c>
      <c r="F87" s="1">
        <v>86</v>
      </c>
      <c r="G87" s="1">
        <f t="shared" si="16"/>
        <v>23223.440000000002</v>
      </c>
      <c r="H87" s="1">
        <f t="shared" si="11"/>
        <v>540.08000000000004</v>
      </c>
      <c r="I87" s="1">
        <f t="shared" si="10"/>
        <v>116.27906976744185</v>
      </c>
      <c r="J87" s="1">
        <f t="shared" si="12"/>
        <v>0.21529971442645876</v>
      </c>
      <c r="K87" s="1">
        <v>5000</v>
      </c>
      <c r="L87" s="3">
        <f t="shared" si="13"/>
        <v>46563.159069767447</v>
      </c>
      <c r="M87" s="9">
        <f t="shared" si="14"/>
        <v>1.5259851684332724E-3</v>
      </c>
      <c r="N87" s="17">
        <f t="shared" si="15"/>
        <v>5.9684229320523948E-4</v>
      </c>
      <c r="O87" s="10"/>
      <c r="P87" s="10"/>
      <c r="Q87" s="10"/>
    </row>
    <row r="88" spans="5:17" x14ac:dyDescent="0.3">
      <c r="E88" s="1">
        <v>3.14</v>
      </c>
      <c r="F88" s="1">
        <v>87</v>
      </c>
      <c r="G88" s="1">
        <f t="shared" si="16"/>
        <v>23766.66</v>
      </c>
      <c r="H88" s="1">
        <f t="shared" si="11"/>
        <v>546.36</v>
      </c>
      <c r="I88" s="1">
        <f t="shared" si="10"/>
        <v>114.94252873563218</v>
      </c>
      <c r="J88" s="1">
        <f t="shared" si="12"/>
        <v>0.21037874063919793</v>
      </c>
      <c r="K88" s="1">
        <v>5000</v>
      </c>
      <c r="L88" s="3">
        <f t="shared" si="13"/>
        <v>47648.262528735635</v>
      </c>
      <c r="M88" s="9">
        <f t="shared" si="14"/>
        <v>1.4911066594969593E-3</v>
      </c>
      <c r="N88" s="17">
        <f t="shared" si="15"/>
        <v>5.899820369615011E-4</v>
      </c>
      <c r="O88" s="10"/>
      <c r="P88" s="10"/>
      <c r="Q88" s="10"/>
    </row>
    <row r="89" spans="5:17" x14ac:dyDescent="0.3">
      <c r="E89" s="1">
        <v>3.14</v>
      </c>
      <c r="F89" s="1">
        <v>88</v>
      </c>
      <c r="G89" s="1">
        <f t="shared" si="16"/>
        <v>24316.16</v>
      </c>
      <c r="H89" s="1">
        <f t="shared" si="11"/>
        <v>552.64</v>
      </c>
      <c r="I89" s="1">
        <f t="shared" si="10"/>
        <v>113.63636363636364</v>
      </c>
      <c r="J89" s="1">
        <f t="shared" si="12"/>
        <v>0.20562457230088962</v>
      </c>
      <c r="K89" s="1">
        <v>5000</v>
      </c>
      <c r="L89" s="3">
        <f t="shared" si="13"/>
        <v>48745.95636363636</v>
      </c>
      <c r="M89" s="9">
        <f t="shared" si="14"/>
        <v>1.4574104217113229E-3</v>
      </c>
      <c r="N89" s="17">
        <f t="shared" si="15"/>
        <v>5.8327769563239326E-4</v>
      </c>
      <c r="O89" s="10"/>
      <c r="P89" s="10"/>
      <c r="Q89" s="10"/>
    </row>
    <row r="90" spans="5:17" x14ac:dyDescent="0.3">
      <c r="E90" s="1">
        <v>3.14</v>
      </c>
      <c r="F90" s="1">
        <v>89</v>
      </c>
      <c r="G90" s="1">
        <f t="shared" si="16"/>
        <v>24871.940000000002</v>
      </c>
      <c r="H90" s="1">
        <f t="shared" si="11"/>
        <v>558.92000000000007</v>
      </c>
      <c r="I90" s="1">
        <f t="shared" si="10"/>
        <v>112.35955056179776</v>
      </c>
      <c r="J90" s="1">
        <f t="shared" si="12"/>
        <v>0.20102975481606983</v>
      </c>
      <c r="K90" s="1">
        <v>5000</v>
      </c>
      <c r="L90" s="3">
        <f t="shared" si="13"/>
        <v>49856.239550561804</v>
      </c>
      <c r="M90" s="9">
        <f t="shared" si="14"/>
        <v>1.4248436189537282E-3</v>
      </c>
      <c r="N90" s="17">
        <f t="shared" si="15"/>
        <v>5.7672401365899551E-4</v>
      </c>
      <c r="O90" s="10"/>
      <c r="P90" s="10"/>
      <c r="Q90" s="10"/>
    </row>
    <row r="91" spans="5:17" x14ac:dyDescent="0.3">
      <c r="E91" s="1">
        <v>3.14</v>
      </c>
      <c r="F91" s="1">
        <v>90</v>
      </c>
      <c r="G91" s="1">
        <f t="shared" si="16"/>
        <v>25434</v>
      </c>
      <c r="H91" s="1">
        <f t="shared" si="11"/>
        <v>565.20000000000005</v>
      </c>
      <c r="I91" s="1">
        <f t="shared" si="10"/>
        <v>111.11111111111113</v>
      </c>
      <c r="J91" s="1">
        <f t="shared" si="12"/>
        <v>0.19658724541951719</v>
      </c>
      <c r="K91" s="1">
        <v>5000</v>
      </c>
      <c r="L91" s="3">
        <f t="shared" si="13"/>
        <v>50979.111111111109</v>
      </c>
      <c r="M91" s="9">
        <f t="shared" si="14"/>
        <v>1.3933563340410473E-3</v>
      </c>
      <c r="N91" s="17">
        <f t="shared" si="15"/>
        <v>5.703159690627845E-4</v>
      </c>
      <c r="O91" s="10"/>
      <c r="P91" s="10"/>
      <c r="Q91" s="10"/>
    </row>
    <row r="92" spans="5:17" x14ac:dyDescent="0.3">
      <c r="E92" s="1">
        <v>3.14</v>
      </c>
      <c r="F92" s="1">
        <v>91</v>
      </c>
      <c r="G92" s="1">
        <f t="shared" si="16"/>
        <v>26002.34</v>
      </c>
      <c r="H92" s="1">
        <f t="shared" si="11"/>
        <v>571.48</v>
      </c>
      <c r="I92" s="1">
        <f t="shared" si="10"/>
        <v>109.8901098901099</v>
      </c>
      <c r="J92" s="1">
        <f t="shared" si="12"/>
        <v>0.19229038617293676</v>
      </c>
      <c r="K92" s="1">
        <v>5000</v>
      </c>
      <c r="L92" s="3">
        <f t="shared" si="13"/>
        <v>52114.570109890112</v>
      </c>
      <c r="M92" s="9">
        <f t="shared" si="14"/>
        <v>1.3629013773375782E-3</v>
      </c>
      <c r="N92" s="17">
        <f t="shared" si="15"/>
        <v>5.6404876061154515E-4</v>
      </c>
      <c r="O92" s="10"/>
      <c r="P92" s="10"/>
      <c r="Q92" s="10"/>
    </row>
    <row r="93" spans="5:17" x14ac:dyDescent="0.3">
      <c r="E93" s="1">
        <v>3.14</v>
      </c>
      <c r="F93" s="1">
        <v>92</v>
      </c>
      <c r="G93" s="1">
        <f t="shared" si="16"/>
        <v>26576.960000000003</v>
      </c>
      <c r="H93" s="1">
        <f t="shared" si="11"/>
        <v>577.76</v>
      </c>
      <c r="I93" s="1">
        <f t="shared" si="10"/>
        <v>108.69565217391303</v>
      </c>
      <c r="J93" s="1">
        <f t="shared" si="12"/>
        <v>0.18813287900497272</v>
      </c>
      <c r="K93" s="1">
        <v>5000</v>
      </c>
      <c r="L93" s="3">
        <f t="shared" si="13"/>
        <v>53262.615652173918</v>
      </c>
      <c r="M93" s="9">
        <f t="shared" si="14"/>
        <v>1.3334341098455201E-3</v>
      </c>
      <c r="N93" s="17">
        <f t="shared" si="15"/>
        <v>5.5791779582228904E-4</v>
      </c>
      <c r="O93" s="10"/>
      <c r="P93" s="10"/>
      <c r="Q93" s="10"/>
    </row>
    <row r="94" spans="5:17" x14ac:dyDescent="0.3">
      <c r="E94" s="1">
        <v>3.14</v>
      </c>
      <c r="F94" s="1">
        <v>93</v>
      </c>
      <c r="G94" s="1">
        <f t="shared" si="16"/>
        <v>27157.86</v>
      </c>
      <c r="H94" s="1">
        <f t="shared" si="11"/>
        <v>584.04000000000008</v>
      </c>
      <c r="I94" s="1">
        <f t="shared" si="10"/>
        <v>107.52688172043013</v>
      </c>
      <c r="J94" s="1">
        <f t="shared" si="12"/>
        <v>0.18410876261973513</v>
      </c>
      <c r="K94" s="1">
        <v>5000</v>
      </c>
      <c r="L94" s="3">
        <f t="shared" si="13"/>
        <v>54423.246881720428</v>
      </c>
      <c r="M94" s="9">
        <f t="shared" si="14"/>
        <v>1.3049122795389622E-3</v>
      </c>
      <c r="N94" s="17">
        <f t="shared" si="15"/>
        <v>5.519186797381786E-4</v>
      </c>
      <c r="O94" s="10"/>
      <c r="P94" s="10"/>
      <c r="Q94" s="10"/>
    </row>
    <row r="95" spans="5:17" x14ac:dyDescent="0.3">
      <c r="E95" s="1">
        <v>3.14</v>
      </c>
      <c r="F95" s="1">
        <v>94</v>
      </c>
      <c r="G95" s="1">
        <f t="shared" si="16"/>
        <v>27745.040000000001</v>
      </c>
      <c r="H95" s="1">
        <f t="shared" si="11"/>
        <v>590.32000000000005</v>
      </c>
      <c r="I95" s="1">
        <f t="shared" si="10"/>
        <v>106.38297872340426</v>
      </c>
      <c r="J95" s="1">
        <f t="shared" si="12"/>
        <v>0.18021239111567328</v>
      </c>
      <c r="K95" s="1">
        <v>5000</v>
      </c>
      <c r="L95" s="3">
        <f t="shared" si="13"/>
        <v>55596.462978723408</v>
      </c>
      <c r="M95" s="9">
        <f t="shared" si="14"/>
        <v>1.2772958698203352E-3</v>
      </c>
      <c r="N95" s="17">
        <f t="shared" si="15"/>
        <v>5.460472044218149E-4</v>
      </c>
      <c r="O95" s="10"/>
      <c r="P95" s="10"/>
      <c r="Q95" s="10"/>
    </row>
    <row r="96" spans="5:17" x14ac:dyDescent="0.3">
      <c r="E96" s="1">
        <v>3.14</v>
      </c>
      <c r="F96" s="1">
        <v>95</v>
      </c>
      <c r="G96" s="1">
        <f t="shared" si="16"/>
        <v>28338.5</v>
      </c>
      <c r="H96" s="1">
        <f t="shared" si="11"/>
        <v>596.6</v>
      </c>
      <c r="I96" s="1">
        <f t="shared" si="10"/>
        <v>105.26315789473684</v>
      </c>
      <c r="J96" s="1">
        <f t="shared" si="12"/>
        <v>0.17643841417153341</v>
      </c>
      <c r="K96" s="1">
        <v>5000</v>
      </c>
      <c r="L96" s="3">
        <f t="shared" si="13"/>
        <v>56782.26315789474</v>
      </c>
      <c r="M96" s="9">
        <f t="shared" si="14"/>
        <v>1.2505469590839318E-3</v>
      </c>
      <c r="N96" s="17">
        <f t="shared" si="15"/>
        <v>5.402993391121116E-4</v>
      </c>
      <c r="O96" s="10"/>
      <c r="P96" s="10"/>
      <c r="Q96" s="10"/>
    </row>
    <row r="97" spans="5:17" x14ac:dyDescent="0.3">
      <c r="E97" s="1">
        <v>3.14</v>
      </c>
      <c r="F97" s="1">
        <v>96</v>
      </c>
      <c r="G97" s="1">
        <f t="shared" si="16"/>
        <v>28938.240000000002</v>
      </c>
      <c r="H97" s="1">
        <f t="shared" si="11"/>
        <v>602.88</v>
      </c>
      <c r="I97" s="1">
        <f t="shared" si="10"/>
        <v>104.16666666666667</v>
      </c>
      <c r="J97" s="1">
        <f t="shared" si="12"/>
        <v>0.17278175866949752</v>
      </c>
      <c r="K97" s="1">
        <v>5000</v>
      </c>
      <c r="L97" s="3">
        <f t="shared" si="13"/>
        <v>57980.646666666667</v>
      </c>
      <c r="M97" s="9">
        <f t="shared" si="14"/>
        <v>1.2246295904657643E-3</v>
      </c>
      <c r="N97" s="17">
        <f t="shared" si="15"/>
        <v>5.3467122099636034E-4</v>
      </c>
      <c r="O97" s="10"/>
      <c r="P97" s="10"/>
      <c r="Q97" s="10"/>
    </row>
    <row r="98" spans="5:17" x14ac:dyDescent="0.3">
      <c r="E98" s="1">
        <v>3.14</v>
      </c>
      <c r="F98" s="1">
        <v>97</v>
      </c>
      <c r="G98" s="1">
        <f t="shared" si="16"/>
        <v>29544.260000000002</v>
      </c>
      <c r="H98" s="1">
        <f t="shared" si="11"/>
        <v>609.16</v>
      </c>
      <c r="I98" s="1">
        <f t="shared" si="10"/>
        <v>103.09278350515463</v>
      </c>
      <c r="J98" s="1">
        <f t="shared" si="12"/>
        <v>0.16923761163759052</v>
      </c>
      <c r="K98" s="1">
        <v>5000</v>
      </c>
      <c r="L98" s="3">
        <f t="shared" si="13"/>
        <v>59191.612783505159</v>
      </c>
      <c r="M98" s="9">
        <f t="shared" si="14"/>
        <v>1.1995096509440412E-3</v>
      </c>
      <c r="N98" s="17">
        <f t="shared" si="15"/>
        <v>5.2915914655309905E-4</v>
      </c>
      <c r="O98" s="10"/>
      <c r="P98" s="10"/>
      <c r="Q98" s="10"/>
    </row>
    <row r="99" spans="5:17" x14ac:dyDescent="0.3">
      <c r="E99" s="1">
        <v>3.14</v>
      </c>
      <c r="F99" s="1">
        <v>98</v>
      </c>
      <c r="G99" s="1">
        <f t="shared" si="16"/>
        <v>30156.560000000001</v>
      </c>
      <c r="H99" s="1">
        <f t="shared" si="11"/>
        <v>615.44000000000005</v>
      </c>
      <c r="I99" s="1">
        <f t="shared" si="10"/>
        <v>102.04081632653062</v>
      </c>
      <c r="J99" s="1">
        <f t="shared" si="12"/>
        <v>0.16580140440421587</v>
      </c>
      <c r="K99" s="1">
        <v>5000</v>
      </c>
      <c r="L99" s="3">
        <f t="shared" si="13"/>
        <v>60415.160816326534</v>
      </c>
      <c r="M99" s="9">
        <f t="shared" si="14"/>
        <v>1.175154759030871E-3</v>
      </c>
      <c r="N99" s="17">
        <f t="shared" si="15"/>
        <v>5.2375956342500614E-4</v>
      </c>
      <c r="O99" s="10"/>
      <c r="P99" s="10"/>
      <c r="Q99" s="10"/>
    </row>
    <row r="100" spans="5:17" x14ac:dyDescent="0.3">
      <c r="E100" s="1">
        <v>3.14</v>
      </c>
      <c r="F100" s="1">
        <v>99</v>
      </c>
      <c r="G100" s="1">
        <f t="shared" si="16"/>
        <v>30775.14</v>
      </c>
      <c r="H100" s="1">
        <f t="shared" si="11"/>
        <v>621.72</v>
      </c>
      <c r="I100" s="1">
        <f t="shared" si="10"/>
        <v>101.01010101010101</v>
      </c>
      <c r="J100" s="1">
        <f t="shared" si="12"/>
        <v>0.16246879786736956</v>
      </c>
      <c r="K100" s="1">
        <v>5000</v>
      </c>
      <c r="L100" s="3">
        <f t="shared" si="13"/>
        <v>61651.290101010098</v>
      </c>
      <c r="M100" s="9">
        <f t="shared" si="14"/>
        <v>1.1515341603645019E-3</v>
      </c>
      <c r="N100" s="17">
        <f t="shared" si="15"/>
        <v>5.1846906278434947E-4</v>
      </c>
      <c r="O100" s="10"/>
      <c r="P100" s="10"/>
      <c r="Q100" s="10"/>
    </row>
    <row r="101" spans="5:17" x14ac:dyDescent="0.3">
      <c r="E101" s="1">
        <v>3.14</v>
      </c>
      <c r="F101" s="1">
        <v>100</v>
      </c>
      <c r="G101" s="1">
        <f t="shared" si="16"/>
        <v>31400</v>
      </c>
      <c r="H101" s="1">
        <f t="shared" si="11"/>
        <v>628</v>
      </c>
      <c r="I101" s="1">
        <f t="shared" si="10"/>
        <v>100</v>
      </c>
      <c r="J101" s="1">
        <f t="shared" si="12"/>
        <v>0.15923566878980891</v>
      </c>
      <c r="K101" s="1">
        <v>5000</v>
      </c>
      <c r="L101" s="3">
        <f t="shared" si="13"/>
        <v>62900</v>
      </c>
      <c r="M101" s="9">
        <f t="shared" si="14"/>
        <v>1.1286186305732482E-3</v>
      </c>
      <c r="N101" s="17">
        <f t="shared" si="15"/>
        <v>5.1328437215650594E-4</v>
      </c>
      <c r="O101" s="10"/>
      <c r="P101" s="10"/>
      <c r="Q101" s="10"/>
    </row>
    <row r="102" spans="5:17" x14ac:dyDescent="0.3">
      <c r="E102" s="1">
        <v>3.14</v>
      </c>
      <c r="F102" s="1">
        <v>101</v>
      </c>
      <c r="G102" s="1">
        <f t="shared" si="16"/>
        <v>32031.140000000003</v>
      </c>
      <c r="H102" s="1">
        <f t="shared" si="11"/>
        <v>634.28</v>
      </c>
      <c r="I102" s="1">
        <f t="shared" si="10"/>
        <v>99.009900990098998</v>
      </c>
      <c r="J102" s="1">
        <f t="shared" si="12"/>
        <v>0.1560980970393186</v>
      </c>
      <c r="K102" s="1">
        <v>5000</v>
      </c>
      <c r="L102" s="3">
        <f t="shared" si="13"/>
        <v>64161.289900990108</v>
      </c>
      <c r="M102" s="9">
        <f t="shared" si="14"/>
        <v>1.1063803848380043E-3</v>
      </c>
      <c r="N102" s="17">
        <f t="shared" si="15"/>
        <v>5.0820234866980789E-4</v>
      </c>
      <c r="O102" s="10"/>
      <c r="P102" s="10"/>
      <c r="Q102" s="10"/>
    </row>
    <row r="103" spans="5:17" x14ac:dyDescent="0.3">
      <c r="E103" s="1">
        <v>3.14</v>
      </c>
      <c r="F103" s="1">
        <v>102</v>
      </c>
      <c r="G103" s="1">
        <f t="shared" si="16"/>
        <v>32668.560000000001</v>
      </c>
      <c r="H103" s="1">
        <f t="shared" si="11"/>
        <v>640.56000000000006</v>
      </c>
      <c r="I103" s="1">
        <f t="shared" si="10"/>
        <v>98.039215686274517</v>
      </c>
      <c r="J103" s="1">
        <f t="shared" si="12"/>
        <v>0.15305235370031614</v>
      </c>
      <c r="K103" s="1">
        <v>5000</v>
      </c>
      <c r="L103" s="3">
        <f t="shared" si="13"/>
        <v>65435.159215686275</v>
      </c>
      <c r="M103" s="9">
        <f t="shared" si="14"/>
        <v>1.084792993630573E-3</v>
      </c>
      <c r="N103" s="17">
        <f t="shared" si="15"/>
        <v>5.0321997270245695E-4</v>
      </c>
      <c r="O103" s="10"/>
      <c r="P103" s="10"/>
      <c r="Q103" s="10"/>
    </row>
    <row r="104" spans="5:17" x14ac:dyDescent="0.3">
      <c r="E104" s="1">
        <v>3.14</v>
      </c>
      <c r="F104" s="1">
        <v>103</v>
      </c>
      <c r="G104" s="1">
        <f t="shared" si="16"/>
        <v>33312.26</v>
      </c>
      <c r="H104" s="1">
        <f t="shared" si="11"/>
        <v>646.84</v>
      </c>
      <c r="I104" s="1">
        <f t="shared" si="10"/>
        <v>97.087378640776706</v>
      </c>
      <c r="J104" s="1">
        <f t="shared" si="12"/>
        <v>0.15009488998945134</v>
      </c>
      <c r="K104" s="1">
        <v>5000</v>
      </c>
      <c r="L104" s="3">
        <f t="shared" si="13"/>
        <v>66721.60737864078</v>
      </c>
      <c r="M104" s="9">
        <f t="shared" si="14"/>
        <v>1.063831304150484E-3</v>
      </c>
      <c r="N104" s="17">
        <f t="shared" si="15"/>
        <v>4.9833434189952043E-4</v>
      </c>
      <c r="O104" s="10"/>
      <c r="P104" s="10"/>
      <c r="Q104" s="10"/>
    </row>
    <row r="105" spans="5:17" x14ac:dyDescent="0.3">
      <c r="E105" s="1">
        <v>3.14</v>
      </c>
      <c r="F105" s="1">
        <v>104</v>
      </c>
      <c r="G105" s="1">
        <f t="shared" si="16"/>
        <v>33962.239999999998</v>
      </c>
      <c r="H105" s="1">
        <f t="shared" si="11"/>
        <v>653.12</v>
      </c>
      <c r="I105" s="1">
        <f t="shared" si="10"/>
        <v>96.15384615384616</v>
      </c>
      <c r="J105" s="1">
        <f t="shared" si="12"/>
        <v>0.14722232691365469</v>
      </c>
      <c r="K105" s="1">
        <v>5000</v>
      </c>
      <c r="L105" s="3">
        <f t="shared" si="13"/>
        <v>68020.63384615384</v>
      </c>
      <c r="M105" s="9">
        <f t="shared" si="14"/>
        <v>1.0434713670240832E-3</v>
      </c>
      <c r="N105" s="17">
        <f t="shared" si="15"/>
        <v>4.9354266553510188E-4</v>
      </c>
      <c r="O105" s="10"/>
      <c r="P105" s="10"/>
      <c r="Q105" s="10"/>
    </row>
    <row r="106" spans="5:17" x14ac:dyDescent="0.3">
      <c r="E106" s="1">
        <v>3.14</v>
      </c>
      <c r="F106" s="1">
        <v>105</v>
      </c>
      <c r="G106" s="1">
        <f t="shared" si="16"/>
        <v>34618.5</v>
      </c>
      <c r="H106" s="1">
        <f t="shared" si="11"/>
        <v>659.4</v>
      </c>
      <c r="I106" s="1">
        <f t="shared" si="10"/>
        <v>95.238095238095241</v>
      </c>
      <c r="J106" s="1">
        <f t="shared" si="12"/>
        <v>0.14443144561433915</v>
      </c>
      <c r="K106" s="1">
        <v>5000</v>
      </c>
      <c r="L106" s="3">
        <f t="shared" si="13"/>
        <v>69332.238095238092</v>
      </c>
      <c r="M106" s="9">
        <f t="shared" si="14"/>
        <v>1.023690367866892E-3</v>
      </c>
      <c r="N106" s="17">
        <f t="shared" si="15"/>
        <v>4.8884225919667234E-4</v>
      </c>
      <c r="O106" s="10"/>
      <c r="P106" s="10"/>
      <c r="Q106" s="10"/>
    </row>
    <row r="107" spans="5:17" x14ac:dyDescent="0.3">
      <c r="E107" s="1">
        <v>3.14</v>
      </c>
      <c r="F107" s="1">
        <v>106</v>
      </c>
      <c r="G107" s="1">
        <f t="shared" si="16"/>
        <v>35281.040000000001</v>
      </c>
      <c r="H107" s="1">
        <f t="shared" si="11"/>
        <v>665.68000000000006</v>
      </c>
      <c r="I107" s="1">
        <f t="shared" si="10"/>
        <v>94.33962264150945</v>
      </c>
      <c r="J107" s="1">
        <f t="shared" si="12"/>
        <v>0.14171917834621656</v>
      </c>
      <c r="K107" s="1">
        <v>5000</v>
      </c>
      <c r="L107" s="3">
        <f t="shared" si="13"/>
        <v>70656.419622641508</v>
      </c>
      <c r="M107" s="9">
        <f t="shared" si="14"/>
        <v>1.0044665633439376E-3</v>
      </c>
      <c r="N107" s="17">
        <f t="shared" si="15"/>
        <v>4.8423053977028873E-4</v>
      </c>
      <c r="O107" s="10"/>
      <c r="P107" s="10"/>
      <c r="Q107" s="10"/>
    </row>
    <row r="108" spans="5:17" x14ac:dyDescent="0.3">
      <c r="E108" s="1">
        <v>3.14</v>
      </c>
      <c r="F108" s="1">
        <v>107</v>
      </c>
      <c r="G108" s="1">
        <f t="shared" si="16"/>
        <v>35949.86</v>
      </c>
      <c r="H108" s="1">
        <f t="shared" si="11"/>
        <v>671.96</v>
      </c>
      <c r="I108" s="1">
        <f t="shared" si="10"/>
        <v>93.45794392523365</v>
      </c>
      <c r="J108" s="1">
        <f t="shared" si="12"/>
        <v>0.13908260004350503</v>
      </c>
      <c r="K108" s="1">
        <v>5000</v>
      </c>
      <c r="L108" s="3">
        <f t="shared" si="13"/>
        <v>71993.177943925228</v>
      </c>
      <c r="M108" s="9">
        <f t="shared" si="14"/>
        <v>9.8577922139335178E-4</v>
      </c>
      <c r="N108" s="17">
        <f t="shared" si="15"/>
        <v>4.7970502070701496E-4</v>
      </c>
      <c r="O108" s="10"/>
      <c r="P108" s="10"/>
      <c r="Q108" s="10"/>
    </row>
    <row r="109" spans="5:17" x14ac:dyDescent="0.3">
      <c r="E109" s="1">
        <v>3.14</v>
      </c>
      <c r="F109" s="1">
        <v>108</v>
      </c>
      <c r="G109" s="1">
        <f t="shared" si="16"/>
        <v>36624.959999999999</v>
      </c>
      <c r="H109" s="1">
        <f t="shared" si="11"/>
        <v>678.24</v>
      </c>
      <c r="I109" s="1">
        <f t="shared" si="10"/>
        <v>92.592592592592595</v>
      </c>
      <c r="J109" s="1">
        <f t="shared" si="12"/>
        <v>0.13651892043022026</v>
      </c>
      <c r="K109" s="1">
        <v>5000</v>
      </c>
      <c r="L109" s="3">
        <f t="shared" si="13"/>
        <v>73342.512592592597</v>
      </c>
      <c r="M109" s="9">
        <f t="shared" si="14"/>
        <v>9.6760856530628302E-4</v>
      </c>
      <c r="N109" s="17">
        <f t="shared" si="15"/>
        <v>4.7526330755232038E-4</v>
      </c>
      <c r="O109" s="10"/>
      <c r="P109" s="10"/>
      <c r="Q109" s="10"/>
    </row>
    <row r="110" spans="5:17" x14ac:dyDescent="0.3">
      <c r="E110" s="1">
        <v>3.14</v>
      </c>
      <c r="F110" s="1">
        <v>109</v>
      </c>
      <c r="G110" s="1">
        <f t="shared" si="16"/>
        <v>37306.340000000004</v>
      </c>
      <c r="H110" s="1">
        <f t="shared" si="11"/>
        <v>684.52</v>
      </c>
      <c r="I110" s="1">
        <f t="shared" si="10"/>
        <v>91.743119266055032</v>
      </c>
      <c r="J110" s="1">
        <f t="shared" si="12"/>
        <v>0.13402547663480255</v>
      </c>
      <c r="K110" s="1">
        <v>5000</v>
      </c>
      <c r="L110" s="3">
        <f t="shared" si="13"/>
        <v>74704.423119266066</v>
      </c>
      <c r="M110" s="9">
        <f t="shared" si="14"/>
        <v>9.4993572138140595E-4</v>
      </c>
      <c r="N110" s="17">
        <f t="shared" si="15"/>
        <v>4.7090309372156512E-4</v>
      </c>
      <c r="O110" s="10"/>
      <c r="P110" s="10"/>
      <c r="Q110" s="10"/>
    </row>
    <row r="111" spans="5:17" x14ac:dyDescent="0.3">
      <c r="E111" s="1">
        <v>3.14</v>
      </c>
      <c r="F111" s="1">
        <v>110</v>
      </c>
      <c r="G111" s="1">
        <f t="shared" si="16"/>
        <v>37994</v>
      </c>
      <c r="H111" s="1">
        <f t="shared" si="11"/>
        <v>690.80000000000007</v>
      </c>
      <c r="I111" s="1">
        <f t="shared" si="10"/>
        <v>90.909090909090921</v>
      </c>
      <c r="J111" s="1">
        <f t="shared" si="12"/>
        <v>0.13159972627256936</v>
      </c>
      <c r="K111" s="1">
        <v>5000</v>
      </c>
      <c r="L111" s="3">
        <f t="shared" si="13"/>
        <v>76078.909090909088</v>
      </c>
      <c r="M111" s="9">
        <f t="shared" si="14"/>
        <v>9.3274266989524656E-4</v>
      </c>
      <c r="N111" s="17">
        <f t="shared" si="15"/>
        <v>4.666221565059146E-4</v>
      </c>
      <c r="O111" s="10"/>
      <c r="P111" s="10"/>
      <c r="Q111" s="10"/>
    </row>
    <row r="112" spans="5:17" x14ac:dyDescent="0.3">
      <c r="E112" s="1">
        <v>3.14</v>
      </c>
      <c r="F112" s="1">
        <v>111</v>
      </c>
      <c r="G112" s="1">
        <f t="shared" si="16"/>
        <v>38687.94</v>
      </c>
      <c r="H112" s="1">
        <f t="shared" si="11"/>
        <v>697.08</v>
      </c>
      <c r="I112" s="1">
        <f t="shared" si="10"/>
        <v>90.090090090090087</v>
      </c>
      <c r="J112" s="1">
        <f t="shared" si="12"/>
        <v>0.12923924096242911</v>
      </c>
      <c r="K112" s="1">
        <v>5000</v>
      </c>
      <c r="L112" s="3">
        <f t="shared" si="13"/>
        <v>77465.970090090093</v>
      </c>
      <c r="M112" s="9">
        <f t="shared" si="14"/>
        <v>9.1601219915043281E-4</v>
      </c>
      <c r="N112" s="17">
        <f t="shared" si="15"/>
        <v>4.6241835329414961E-4</v>
      </c>
      <c r="O112" s="10"/>
      <c r="P112" s="10"/>
      <c r="Q112" s="10"/>
    </row>
    <row r="113" spans="5:17" x14ac:dyDescent="0.3">
      <c r="E113" s="1">
        <v>3.14</v>
      </c>
      <c r="F113" s="1">
        <v>112</v>
      </c>
      <c r="G113" s="1">
        <f t="shared" si="16"/>
        <v>39388.160000000003</v>
      </c>
      <c r="H113" s="1">
        <f t="shared" si="11"/>
        <v>703.36</v>
      </c>
      <c r="I113" s="1">
        <f t="shared" si="10"/>
        <v>89.285714285714278</v>
      </c>
      <c r="J113" s="1">
        <f t="shared" si="12"/>
        <v>0.12694170024697776</v>
      </c>
      <c r="K113" s="1">
        <v>5000</v>
      </c>
      <c r="L113" s="3">
        <f t="shared" si="13"/>
        <v>78865.605714285717</v>
      </c>
      <c r="M113" s="9">
        <f t="shared" si="14"/>
        <v>8.9972786238301039E-4</v>
      </c>
      <c r="N113" s="17">
        <f t="shared" si="15"/>
        <v>4.5828961799688036E-4</v>
      </c>
      <c r="O113" s="10"/>
      <c r="P113" s="10"/>
      <c r="Q113" s="10"/>
    </row>
    <row r="114" spans="5:17" x14ac:dyDescent="0.3">
      <c r="E114" s="1">
        <v>3.14</v>
      </c>
      <c r="F114" s="1">
        <v>113</v>
      </c>
      <c r="G114" s="1">
        <f t="shared" si="16"/>
        <v>40094.660000000003</v>
      </c>
      <c r="H114" s="1">
        <f t="shared" si="11"/>
        <v>709.64</v>
      </c>
      <c r="I114" s="1">
        <f t="shared" si="10"/>
        <v>88.495575221238923</v>
      </c>
      <c r="J114" s="1">
        <f t="shared" si="12"/>
        <v>0.12470488588754711</v>
      </c>
      <c r="K114" s="1">
        <v>5000</v>
      </c>
      <c r="L114" s="3">
        <f t="shared" si="13"/>
        <v>80277.815575221248</v>
      </c>
      <c r="M114" s="9">
        <f t="shared" si="14"/>
        <v>8.838739373273148E-4</v>
      </c>
      <c r="N114" s="17">
        <f t="shared" si="15"/>
        <v>4.542339576606247E-4</v>
      </c>
      <c r="O114" s="10"/>
      <c r="P114" s="10"/>
      <c r="Q114" s="10"/>
    </row>
    <row r="115" spans="5:17" x14ac:dyDescent="0.3">
      <c r="E115" s="1">
        <v>3.14</v>
      </c>
      <c r="F115" s="1">
        <v>114</v>
      </c>
      <c r="G115" s="1">
        <f t="shared" si="16"/>
        <v>40807.440000000002</v>
      </c>
      <c r="H115" s="1">
        <f t="shared" si="11"/>
        <v>715.92000000000007</v>
      </c>
      <c r="I115" s="1">
        <f t="shared" si="10"/>
        <v>87.719298245614041</v>
      </c>
      <c r="J115" s="1">
        <f t="shared" si="12"/>
        <v>0.12252667650800932</v>
      </c>
      <c r="K115" s="1">
        <v>5000</v>
      </c>
      <c r="L115" s="3">
        <f t="shared" si="13"/>
        <v>81702.599298245623</v>
      </c>
      <c r="M115" s="9">
        <f t="shared" si="14"/>
        <v>8.6843538825273018E-4</v>
      </c>
      <c r="N115" s="17">
        <f t="shared" si="15"/>
        <v>4.50249449260093E-4</v>
      </c>
      <c r="O115" s="10"/>
      <c r="P115" s="10"/>
      <c r="Q115" s="10"/>
    </row>
    <row r="116" spans="5:17" x14ac:dyDescent="0.3">
      <c r="E116" s="1">
        <v>3.14</v>
      </c>
      <c r="F116" s="1">
        <v>115</v>
      </c>
      <c r="G116" s="1">
        <f t="shared" si="16"/>
        <v>41526.5</v>
      </c>
      <c r="H116" s="1">
        <f t="shared" si="11"/>
        <v>722.2</v>
      </c>
      <c r="I116" s="1">
        <f t="shared" si="10"/>
        <v>86.956521739130437</v>
      </c>
      <c r="J116" s="1">
        <f t="shared" si="12"/>
        <v>0.12040504256318255</v>
      </c>
      <c r="K116" s="1">
        <v>5000</v>
      </c>
      <c r="L116" s="3">
        <f t="shared" si="13"/>
        <v>83139.956521739135</v>
      </c>
      <c r="M116" s="9">
        <f t="shared" si="14"/>
        <v>8.5339783030113296E-4</v>
      </c>
      <c r="N116" s="17">
        <f t="shared" si="15"/>
        <v>4.463342366578313E-4</v>
      </c>
      <c r="O116" s="10"/>
      <c r="P116" s="10"/>
      <c r="Q116" s="10"/>
    </row>
    <row r="117" spans="5:17" x14ac:dyDescent="0.3">
      <c r="E117" s="1">
        <v>3.14</v>
      </c>
      <c r="F117" s="1">
        <v>116</v>
      </c>
      <c r="G117" s="1">
        <f t="shared" si="16"/>
        <v>42251.840000000004</v>
      </c>
      <c r="H117" s="1">
        <f t="shared" si="11"/>
        <v>728.48</v>
      </c>
      <c r="I117" s="1">
        <f t="shared" si="10"/>
        <v>86.206896551724142</v>
      </c>
      <c r="J117" s="1">
        <f t="shared" si="12"/>
        <v>0.11833804160954883</v>
      </c>
      <c r="K117" s="1">
        <v>5000</v>
      </c>
      <c r="L117" s="3">
        <f t="shared" si="13"/>
        <v>84589.886896551732</v>
      </c>
      <c r="M117" s="9">
        <f t="shared" si="14"/>
        <v>8.387474959670395E-4</v>
      </c>
      <c r="N117" s="17">
        <f t="shared" si="15"/>
        <v>4.4248652772112593E-4</v>
      </c>
      <c r="O117" s="10"/>
      <c r="P117" s="10"/>
      <c r="Q117" s="10"/>
    </row>
    <row r="118" spans="5:17" x14ac:dyDescent="0.3">
      <c r="E118" s="1">
        <v>3.14</v>
      </c>
      <c r="F118" s="1">
        <v>117</v>
      </c>
      <c r="G118" s="1">
        <f t="shared" si="16"/>
        <v>42983.46</v>
      </c>
      <c r="H118" s="1">
        <f t="shared" si="11"/>
        <v>734.76</v>
      </c>
      <c r="I118" s="1">
        <f t="shared" si="10"/>
        <v>85.470085470085465</v>
      </c>
      <c r="J118" s="1">
        <f t="shared" si="12"/>
        <v>0.11632381385770248</v>
      </c>
      <c r="K118" s="1">
        <v>5000</v>
      </c>
      <c r="L118" s="3">
        <f t="shared" si="13"/>
        <v>86052.390085470077</v>
      </c>
      <c r="M118" s="9">
        <f t="shared" si="14"/>
        <v>8.2447120357458429E-4</v>
      </c>
      <c r="N118" s="17">
        <f t="shared" si="15"/>
        <v>4.3870459158675728E-4</v>
      </c>
      <c r="O118" s="10"/>
      <c r="P118" s="10"/>
      <c r="Q118" s="10"/>
    </row>
    <row r="119" spans="5:17" x14ac:dyDescent="0.3">
      <c r="E119" s="1">
        <v>3.14</v>
      </c>
      <c r="F119" s="1">
        <v>118</v>
      </c>
      <c r="G119" s="1">
        <f t="shared" si="16"/>
        <v>43721.36</v>
      </c>
      <c r="H119" s="1">
        <f t="shared" si="11"/>
        <v>741.04000000000008</v>
      </c>
      <c r="I119" s="1">
        <f t="shared" si="10"/>
        <v>84.745762711864415</v>
      </c>
      <c r="J119" s="1">
        <f t="shared" si="12"/>
        <v>0.11436057798751</v>
      </c>
      <c r="K119" s="1">
        <v>5000</v>
      </c>
      <c r="L119" s="3">
        <f t="shared" si="13"/>
        <v>87527.465762711872</v>
      </c>
      <c r="M119" s="9">
        <f t="shared" si="14"/>
        <v>8.1055632761652422E-4</v>
      </c>
      <c r="N119" s="17">
        <f t="shared" si="15"/>
        <v>4.3498675606483563E-4</v>
      </c>
      <c r="O119" s="10"/>
      <c r="P119" s="10"/>
      <c r="Q119" s="10"/>
    </row>
    <row r="120" spans="5:17" x14ac:dyDescent="0.3">
      <c r="E120" s="1">
        <v>3.14</v>
      </c>
      <c r="F120" s="1">
        <v>119</v>
      </c>
      <c r="G120" s="1">
        <f t="shared" si="16"/>
        <v>44465.54</v>
      </c>
      <c r="H120" s="1">
        <f t="shared" si="11"/>
        <v>747.32</v>
      </c>
      <c r="I120" s="1">
        <f t="shared" si="10"/>
        <v>84.033613445378151</v>
      </c>
      <c r="J120" s="1">
        <f t="shared" si="12"/>
        <v>0.11244662720839553</v>
      </c>
      <c r="K120" s="1">
        <v>5000</v>
      </c>
      <c r="L120" s="3">
        <f t="shared" si="13"/>
        <v>89015.113613445385</v>
      </c>
      <c r="M120" s="9">
        <f t="shared" si="14"/>
        <v>7.9699077083062527E-4</v>
      </c>
      <c r="N120" s="17">
        <f t="shared" si="15"/>
        <v>4.313314051735345E-4</v>
      </c>
      <c r="O120" s="10"/>
      <c r="P120" s="10"/>
      <c r="Q120" s="10"/>
    </row>
    <row r="121" spans="5:17" x14ac:dyDescent="0.3">
      <c r="E121" s="1">
        <v>3.14</v>
      </c>
      <c r="F121" s="1">
        <v>120</v>
      </c>
      <c r="G121" s="1">
        <f t="shared" si="16"/>
        <v>45216</v>
      </c>
      <c r="H121" s="1">
        <f t="shared" si="11"/>
        <v>753.6</v>
      </c>
      <c r="I121" s="1">
        <f t="shared" si="10"/>
        <v>83.333333333333329</v>
      </c>
      <c r="J121" s="1">
        <f t="shared" si="12"/>
        <v>0.11058032554847841</v>
      </c>
      <c r="K121" s="1">
        <v>5000</v>
      </c>
      <c r="L121" s="3">
        <f t="shared" si="13"/>
        <v>90515.333333333328</v>
      </c>
      <c r="M121" s="9">
        <f t="shared" si="14"/>
        <v>7.8376293789808918E-4</v>
      </c>
      <c r="N121" s="17">
        <f t="shared" si="15"/>
        <v>4.2773697679708832E-4</v>
      </c>
      <c r="O121" s="10"/>
      <c r="P121" s="10"/>
      <c r="Q121" s="10"/>
    </row>
    <row r="122" spans="5:17" x14ac:dyDescent="0.3">
      <c r="E122" s="1">
        <v>3.14</v>
      </c>
      <c r="F122" s="1">
        <v>121</v>
      </c>
      <c r="G122" s="1">
        <f t="shared" si="16"/>
        <v>45972.740000000005</v>
      </c>
      <c r="H122" s="1">
        <f t="shared" si="11"/>
        <v>759.88</v>
      </c>
      <c r="I122" s="1">
        <f t="shared" si="10"/>
        <v>82.644628099173545</v>
      </c>
      <c r="J122" s="1">
        <f t="shared" si="12"/>
        <v>0.10876010435749532</v>
      </c>
      <c r="K122" s="1">
        <v>5000</v>
      </c>
      <c r="L122" s="3">
        <f t="shared" si="13"/>
        <v>92028.124628099191</v>
      </c>
      <c r="M122" s="9">
        <f t="shared" si="14"/>
        <v>7.7086171065722856E-4</v>
      </c>
      <c r="N122" s="17">
        <f t="shared" si="15"/>
        <v>4.2420196045992223E-4</v>
      </c>
      <c r="O122" s="10"/>
      <c r="P122" s="10"/>
      <c r="Q122" s="10"/>
    </row>
    <row r="123" spans="5:17" x14ac:dyDescent="0.3">
      <c r="E123" s="1">
        <v>3.14</v>
      </c>
      <c r="F123" s="1">
        <v>122</v>
      </c>
      <c r="G123" s="1">
        <f t="shared" si="16"/>
        <v>46735.76</v>
      </c>
      <c r="H123" s="1">
        <f t="shared" si="11"/>
        <v>766.16000000000008</v>
      </c>
      <c r="I123" s="1">
        <f t="shared" si="10"/>
        <v>81.967213114754102</v>
      </c>
      <c r="J123" s="1">
        <f t="shared" si="12"/>
        <v>0.10698445900954644</v>
      </c>
      <c r="K123" s="1">
        <v>5000</v>
      </c>
      <c r="L123" s="3">
        <f t="shared" si="13"/>
        <v>93553.487213114757</v>
      </c>
      <c r="M123" s="9">
        <f t="shared" si="14"/>
        <v>7.5827642473343755E-4</v>
      </c>
      <c r="N123" s="17">
        <f t="shared" si="15"/>
        <v>4.2072489521025085E-4</v>
      </c>
      <c r="O123" s="10"/>
      <c r="P123" s="10"/>
      <c r="Q123" s="10"/>
    </row>
    <row r="124" spans="5:17" x14ac:dyDescent="0.3">
      <c r="E124" s="1">
        <v>3.14</v>
      </c>
      <c r="F124" s="1">
        <v>123</v>
      </c>
      <c r="G124" s="1">
        <f t="shared" si="16"/>
        <v>47505.060000000005</v>
      </c>
      <c r="H124" s="1">
        <f t="shared" si="11"/>
        <v>772.44</v>
      </c>
      <c r="I124" s="1">
        <f t="shared" si="10"/>
        <v>81.300813008130078</v>
      </c>
      <c r="J124" s="1">
        <f t="shared" si="12"/>
        <v>0.10525194579272186</v>
      </c>
      <c r="K124" s="1">
        <v>5000</v>
      </c>
      <c r="L124" s="3">
        <f t="shared" si="13"/>
        <v>95091.420813008139</v>
      </c>
      <c r="M124" s="9">
        <f t="shared" si="14"/>
        <v>7.4599684749371948E-4</v>
      </c>
      <c r="N124" s="17">
        <f t="shared" si="15"/>
        <v>4.1730436760691546E-4</v>
      </c>
      <c r="O124" s="10"/>
      <c r="P124" s="10"/>
      <c r="Q124" s="10"/>
    </row>
    <row r="125" spans="5:17" x14ac:dyDescent="0.3">
      <c r="E125" s="1">
        <v>3.14</v>
      </c>
      <c r="F125" s="1">
        <v>124</v>
      </c>
      <c r="G125" s="1">
        <f t="shared" si="16"/>
        <v>48280.639999999999</v>
      </c>
      <c r="H125" s="1">
        <f t="shared" si="11"/>
        <v>778.72</v>
      </c>
      <c r="I125" s="1">
        <f t="shared" si="10"/>
        <v>80.645161290322577</v>
      </c>
      <c r="J125" s="1">
        <f t="shared" si="12"/>
        <v>0.10356117897360101</v>
      </c>
      <c r="K125" s="1">
        <v>5000</v>
      </c>
      <c r="L125" s="3">
        <f t="shared" si="13"/>
        <v>96641.925161290317</v>
      </c>
      <c r="M125" s="9">
        <f t="shared" si="14"/>
        <v>7.3401315724066639E-4</v>
      </c>
      <c r="N125" s="17">
        <f t="shared" si="15"/>
        <v>4.1393900980363387E-4</v>
      </c>
      <c r="O125" s="10"/>
      <c r="P125" s="10"/>
      <c r="Q125" s="10"/>
    </row>
    <row r="126" spans="5:17" x14ac:dyDescent="0.3">
      <c r="E126" s="1">
        <v>3.14</v>
      </c>
      <c r="F126" s="1">
        <v>125</v>
      </c>
      <c r="G126" s="1">
        <f t="shared" si="16"/>
        <v>49062.5</v>
      </c>
      <c r="H126" s="1">
        <f t="shared" si="11"/>
        <v>785</v>
      </c>
      <c r="I126" s="1">
        <f t="shared" si="10"/>
        <v>80</v>
      </c>
      <c r="J126" s="1">
        <f t="shared" si="12"/>
        <v>0.10191082802547771</v>
      </c>
      <c r="K126" s="1">
        <v>5000</v>
      </c>
      <c r="L126" s="3">
        <f t="shared" si="13"/>
        <v>98205</v>
      </c>
      <c r="M126" s="9">
        <f t="shared" si="14"/>
        <v>7.2231592356687907E-4</v>
      </c>
      <c r="N126" s="17">
        <f t="shared" si="15"/>
        <v>4.1062749772520491E-4</v>
      </c>
      <c r="O126" s="10"/>
      <c r="P126" s="10"/>
      <c r="Q126" s="10"/>
    </row>
    <row r="127" spans="5:17" x14ac:dyDescent="0.3">
      <c r="E127" s="1">
        <v>3.14</v>
      </c>
      <c r="F127" s="1">
        <v>126</v>
      </c>
      <c r="G127" s="1">
        <f t="shared" si="16"/>
        <v>49850.64</v>
      </c>
      <c r="H127" s="1">
        <f t="shared" si="11"/>
        <v>791.28000000000009</v>
      </c>
      <c r="I127" s="1">
        <f t="shared" si="10"/>
        <v>79.365079365079382</v>
      </c>
      <c r="J127" s="1">
        <f t="shared" si="12"/>
        <v>0.10029961500995775</v>
      </c>
      <c r="K127" s="1">
        <v>5000</v>
      </c>
      <c r="L127" s="3">
        <f t="shared" si="13"/>
        <v>99780.645079365073</v>
      </c>
      <c r="M127" s="9">
        <f t="shared" si="14"/>
        <v>7.1089608879645275E-4</v>
      </c>
      <c r="N127" s="17">
        <f t="shared" si="15"/>
        <v>4.0736854933056039E-4</v>
      </c>
      <c r="O127" s="10"/>
      <c r="P127" s="10"/>
      <c r="Q127" s="10"/>
    </row>
    <row r="128" spans="5:17" x14ac:dyDescent="0.3">
      <c r="E128" s="1">
        <v>3.14</v>
      </c>
      <c r="F128" s="1">
        <v>127</v>
      </c>
      <c r="G128" s="1">
        <f t="shared" si="16"/>
        <v>50645.060000000005</v>
      </c>
      <c r="H128" s="1">
        <f t="shared" si="11"/>
        <v>797.56000000000006</v>
      </c>
      <c r="I128" s="1">
        <f t="shared" si="10"/>
        <v>78.740157480314963</v>
      </c>
      <c r="J128" s="1">
        <f t="shared" si="12"/>
        <v>9.872631210230573E-2</v>
      </c>
      <c r="K128" s="1">
        <v>5000</v>
      </c>
      <c r="L128" s="3">
        <f t="shared" si="13"/>
        <v>101368.86015748032</v>
      </c>
      <c r="M128" s="9">
        <f t="shared" si="14"/>
        <v>6.9974495044531487E-4</v>
      </c>
      <c r="N128" s="17">
        <f t="shared" si="15"/>
        <v>4.0416092295787878E-4</v>
      </c>
      <c r="O128" s="10"/>
      <c r="P128" s="10"/>
      <c r="Q128" s="10"/>
    </row>
    <row r="129" spans="5:17" x14ac:dyDescent="0.3">
      <c r="E129" s="1">
        <v>3.14</v>
      </c>
      <c r="F129" s="1">
        <v>128</v>
      </c>
      <c r="G129" s="1">
        <f t="shared" si="16"/>
        <v>51445.760000000002</v>
      </c>
      <c r="H129" s="1">
        <f t="shared" si="11"/>
        <v>803.84</v>
      </c>
      <c r="I129" s="1">
        <f t="shared" si="10"/>
        <v>78.125</v>
      </c>
      <c r="J129" s="1">
        <f t="shared" si="12"/>
        <v>9.7189739251592355E-2</v>
      </c>
      <c r="K129" s="1">
        <v>5000</v>
      </c>
      <c r="L129" s="3">
        <f t="shared" si="13"/>
        <v>102969.645</v>
      </c>
      <c r="M129" s="9">
        <f t="shared" si="14"/>
        <v>6.888541446369923E-4</v>
      </c>
      <c r="N129" s="17">
        <f t="shared" si="15"/>
        <v>4.0100341574727031E-4</v>
      </c>
      <c r="O129" s="10"/>
      <c r="P129" s="10"/>
      <c r="Q129" s="10"/>
    </row>
    <row r="130" spans="5:17" x14ac:dyDescent="0.3">
      <c r="E130" s="1">
        <v>3.14</v>
      </c>
      <c r="F130" s="1">
        <v>129</v>
      </c>
      <c r="G130" s="1">
        <f t="shared" si="16"/>
        <v>52252.740000000005</v>
      </c>
      <c r="H130" s="1">
        <f t="shared" si="11"/>
        <v>810.12</v>
      </c>
      <c r="I130" s="1">
        <f t="shared" ref="I130:I138" si="17">H130*J130</f>
        <v>77.519379844961236</v>
      </c>
      <c r="J130" s="1">
        <f t="shared" si="12"/>
        <v>9.5688761967315003E-2</v>
      </c>
      <c r="K130" s="1">
        <v>5000</v>
      </c>
      <c r="L130" s="3">
        <f t="shared" si="13"/>
        <v>104582.99937984497</v>
      </c>
      <c r="M130" s="9">
        <f t="shared" si="14"/>
        <v>6.7821563041478778E-4</v>
      </c>
      <c r="N130" s="17">
        <f t="shared" si="15"/>
        <v>3.9789486213682632E-4</v>
      </c>
      <c r="O130" s="10"/>
      <c r="P130" s="10"/>
      <c r="Q130" s="10"/>
    </row>
    <row r="131" spans="5:17" x14ac:dyDescent="0.3">
      <c r="E131" s="1">
        <v>3.14</v>
      </c>
      <c r="F131" s="1">
        <v>130</v>
      </c>
      <c r="G131" s="1">
        <f t="shared" si="16"/>
        <v>53066</v>
      </c>
      <c r="H131" s="1">
        <f t="shared" ref="H131:H138" si="18">2*E131*F131</f>
        <v>816.4</v>
      </c>
      <c r="I131" s="1">
        <f t="shared" si="17"/>
        <v>76.92307692307692</v>
      </c>
      <c r="J131" s="1">
        <f t="shared" ref="J131:J138" si="19">K131/G131</f>
        <v>9.4222289224739006E-2</v>
      </c>
      <c r="K131" s="1">
        <v>5000</v>
      </c>
      <c r="L131" s="3">
        <f t="shared" ref="L131:L138" si="20">(G131*2)+I131</f>
        <v>106208.92307692308</v>
      </c>
      <c r="M131" s="9">
        <f t="shared" ref="M131:M138" si="21">$C$8*J131*0.85*9.81*10^-6</f>
        <v>6.6782167489541308E-4</v>
      </c>
      <c r="N131" s="17">
        <f t="shared" ref="N131:N138" si="22">(1.05*$C$8*9.81*(J131*0.8-0)*F131)/(0.7*$C$17*10^6)</f>
        <v>3.9483413242808152E-4</v>
      </c>
      <c r="O131" s="10"/>
      <c r="P131" s="10"/>
      <c r="Q131" s="10"/>
    </row>
    <row r="132" spans="5:17" x14ac:dyDescent="0.3">
      <c r="E132" s="1">
        <v>3.14</v>
      </c>
      <c r="F132" s="1">
        <v>131</v>
      </c>
      <c r="G132" s="1">
        <f t="shared" ref="G132:G138" si="23">E132*F132^2</f>
        <v>53885.54</v>
      </c>
      <c r="H132" s="1">
        <f t="shared" si="18"/>
        <v>822.68000000000006</v>
      </c>
      <c r="I132" s="1">
        <f t="shared" si="17"/>
        <v>76.335877862595424</v>
      </c>
      <c r="J132" s="1">
        <f t="shared" si="19"/>
        <v>9.2789271481737032E-2</v>
      </c>
      <c r="K132" s="1">
        <v>5000</v>
      </c>
      <c r="L132" s="3">
        <f t="shared" si="20"/>
        <v>107847.4158778626</v>
      </c>
      <c r="M132" s="9">
        <f t="shared" si="21"/>
        <v>6.5766483921289468E-4</v>
      </c>
      <c r="N132" s="17">
        <f t="shared" si="22"/>
        <v>3.9182013141718017E-4</v>
      </c>
      <c r="O132" s="10"/>
      <c r="P132" s="10"/>
      <c r="Q132" s="10"/>
    </row>
    <row r="133" spans="5:17" x14ac:dyDescent="0.3">
      <c r="E133" s="1">
        <v>3.14</v>
      </c>
      <c r="F133" s="1">
        <v>132</v>
      </c>
      <c r="G133" s="1">
        <f t="shared" si="23"/>
        <v>54711.360000000001</v>
      </c>
      <c r="H133" s="1">
        <f t="shared" si="18"/>
        <v>828.96</v>
      </c>
      <c r="I133" s="1">
        <f t="shared" si="17"/>
        <v>75.757575757575751</v>
      </c>
      <c r="J133" s="1">
        <f t="shared" si="19"/>
        <v>9.1388698800395379E-2</v>
      </c>
      <c r="K133" s="1">
        <v>5000</v>
      </c>
      <c r="L133" s="3">
        <f t="shared" si="20"/>
        <v>109498.47757575757</v>
      </c>
      <c r="M133" s="9">
        <f t="shared" si="21"/>
        <v>6.4773796520503244E-4</v>
      </c>
      <c r="N133" s="17">
        <f t="shared" si="22"/>
        <v>3.888517970882621E-4</v>
      </c>
      <c r="O133" s="10"/>
      <c r="P133" s="10"/>
      <c r="Q133" s="10"/>
    </row>
    <row r="134" spans="5:17" x14ac:dyDescent="0.3">
      <c r="E134" s="1">
        <v>3.14</v>
      </c>
      <c r="F134" s="1">
        <v>133</v>
      </c>
      <c r="G134" s="1">
        <f t="shared" si="23"/>
        <v>55543.46</v>
      </c>
      <c r="H134" s="1">
        <f t="shared" si="18"/>
        <v>835.24</v>
      </c>
      <c r="I134" s="1">
        <f t="shared" si="17"/>
        <v>75.187969924812037</v>
      </c>
      <c r="J134" s="1">
        <f t="shared" si="19"/>
        <v>9.0019599067108894E-2</v>
      </c>
      <c r="K134" s="1">
        <v>5000</v>
      </c>
      <c r="L134" s="3">
        <f t="shared" si="20"/>
        <v>111162.10796992481</v>
      </c>
      <c r="M134" s="9">
        <f t="shared" si="21"/>
        <v>6.3803416279792434E-4</v>
      </c>
      <c r="N134" s="17">
        <f t="shared" si="22"/>
        <v>3.8592809936579398E-4</v>
      </c>
      <c r="O134" s="10"/>
      <c r="P134" s="10"/>
      <c r="Q134" s="10"/>
    </row>
    <row r="135" spans="5:17" x14ac:dyDescent="0.3">
      <c r="E135" s="1">
        <v>3.14</v>
      </c>
      <c r="F135" s="1">
        <v>134</v>
      </c>
      <c r="G135" s="1">
        <f t="shared" si="23"/>
        <v>56381.840000000004</v>
      </c>
      <c r="H135" s="1">
        <f t="shared" si="18"/>
        <v>841.52</v>
      </c>
      <c r="I135" s="1">
        <f t="shared" si="17"/>
        <v>74.626865671641781</v>
      </c>
      <c r="J135" s="1">
        <f t="shared" si="19"/>
        <v>8.8681036305306812E-2</v>
      </c>
      <c r="K135" s="1">
        <v>5000</v>
      </c>
      <c r="L135" s="3">
        <f t="shared" si="20"/>
        <v>112838.30686567165</v>
      </c>
      <c r="M135" s="9">
        <f t="shared" si="21"/>
        <v>6.285467980470307E-4</v>
      </c>
      <c r="N135" s="17">
        <f t="shared" si="22"/>
        <v>3.8304803892276565E-4</v>
      </c>
      <c r="O135" s="10"/>
      <c r="P135" s="10"/>
      <c r="Q135" s="10"/>
    </row>
    <row r="136" spans="5:17" x14ac:dyDescent="0.3">
      <c r="E136" s="1">
        <v>3.14</v>
      </c>
      <c r="F136" s="1">
        <v>135</v>
      </c>
      <c r="G136" s="1">
        <f t="shared" si="23"/>
        <v>57226.5</v>
      </c>
      <c r="H136" s="1">
        <f t="shared" si="18"/>
        <v>847.80000000000007</v>
      </c>
      <c r="I136" s="1">
        <f t="shared" si="17"/>
        <v>74.074074074074076</v>
      </c>
      <c r="J136" s="1">
        <f t="shared" si="19"/>
        <v>8.7372109075340973E-2</v>
      </c>
      <c r="K136" s="1">
        <v>5000</v>
      </c>
      <c r="L136" s="3">
        <f t="shared" si="20"/>
        <v>114527.07407407407</v>
      </c>
      <c r="M136" s="9">
        <f t="shared" si="21"/>
        <v>6.1926948179602103E-4</v>
      </c>
      <c r="N136" s="17">
        <f t="shared" si="22"/>
        <v>3.8021064604185626E-4</v>
      </c>
      <c r="O136" s="10"/>
      <c r="P136" s="10"/>
      <c r="Q136" s="10"/>
    </row>
    <row r="137" spans="5:17" x14ac:dyDescent="0.3">
      <c r="E137" s="1">
        <v>3.14</v>
      </c>
      <c r="F137" s="1">
        <v>136</v>
      </c>
      <c r="G137" s="1">
        <f t="shared" si="23"/>
        <v>58077.440000000002</v>
      </c>
      <c r="H137" s="1">
        <f t="shared" si="18"/>
        <v>854.08</v>
      </c>
      <c r="I137" s="1">
        <f t="shared" si="17"/>
        <v>73.529411764705884</v>
      </c>
      <c r="J137" s="1">
        <f t="shared" si="19"/>
        <v>8.6091948956427827E-2</v>
      </c>
      <c r="K137" s="1">
        <v>5000</v>
      </c>
      <c r="L137" s="3">
        <f t="shared" si="20"/>
        <v>116228.4094117647</v>
      </c>
      <c r="M137" s="9">
        <f t="shared" si="21"/>
        <v>6.1019605891719743E-4</v>
      </c>
      <c r="N137" s="17">
        <f t="shared" si="22"/>
        <v>3.7741497952684263E-4</v>
      </c>
      <c r="O137" s="10"/>
      <c r="P137" s="10"/>
      <c r="Q137" s="10"/>
    </row>
    <row r="138" spans="5:17" x14ac:dyDescent="0.3">
      <c r="E138" s="1">
        <v>3.14</v>
      </c>
      <c r="F138" s="1">
        <v>137</v>
      </c>
      <c r="G138" s="1">
        <f t="shared" si="23"/>
        <v>58934.66</v>
      </c>
      <c r="H138" s="1">
        <f t="shared" si="18"/>
        <v>860.36</v>
      </c>
      <c r="I138" s="1">
        <f t="shared" si="17"/>
        <v>72.992700729927009</v>
      </c>
      <c r="J138" s="1">
        <f t="shared" si="19"/>
        <v>8.4839719105870806E-2</v>
      </c>
      <c r="K138" s="1">
        <v>5000</v>
      </c>
      <c r="L138" s="3">
        <f t="shared" si="20"/>
        <v>117942.31270072993</v>
      </c>
      <c r="M138" s="9">
        <f t="shared" si="21"/>
        <v>6.0132059809965815E-4</v>
      </c>
      <c r="N138" s="17">
        <f t="shared" si="22"/>
        <v>3.7466012566168323E-4</v>
      </c>
      <c r="O138" s="10"/>
      <c r="P138" s="10"/>
      <c r="Q138" s="10"/>
    </row>
  </sheetData>
  <conditionalFormatting sqref="M1:Q1 L1:L138">
    <cfRule type="expression" priority="1">
      <formula>MIN(L:L)</formula>
    </cfRule>
    <cfRule type="expression" priority="2">
      <formula>"min"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E8D78-9077-490E-8B5B-A0A93DA2F5E1}">
  <sheetPr codeName="Лист3"/>
  <dimension ref="A1:P831"/>
  <sheetViews>
    <sheetView topLeftCell="A10" zoomScale="85" zoomScaleNormal="85" workbookViewId="0">
      <selection activeCell="F11" sqref="F11"/>
    </sheetView>
  </sheetViews>
  <sheetFormatPr defaultRowHeight="14.4" x14ac:dyDescent="0.3"/>
  <cols>
    <col min="1" max="1" width="43" customWidth="1"/>
    <col min="2" max="2" width="11.88671875" customWidth="1"/>
    <col min="4" max="4" width="28" customWidth="1"/>
    <col min="5" max="5" width="20.5546875" customWidth="1"/>
    <col min="6" max="6" width="32.6640625" customWidth="1"/>
    <col min="7" max="7" width="23" customWidth="1"/>
    <col min="8" max="8" width="25.33203125" customWidth="1"/>
    <col min="9" max="9" width="29.77734375" customWidth="1"/>
  </cols>
  <sheetData>
    <row r="1" spans="1:10" x14ac:dyDescent="0.3">
      <c r="A1" t="s">
        <v>60</v>
      </c>
      <c r="B1">
        <v>5000</v>
      </c>
    </row>
    <row r="2" spans="1:10" x14ac:dyDescent="0.3">
      <c r="A2" t="s">
        <v>54</v>
      </c>
      <c r="B2">
        <v>13</v>
      </c>
    </row>
    <row r="3" spans="1:10" x14ac:dyDescent="0.3">
      <c r="A3" t="s">
        <v>55</v>
      </c>
      <c r="B3">
        <v>11</v>
      </c>
    </row>
    <row r="4" spans="1:10" x14ac:dyDescent="0.3">
      <c r="A4" t="s">
        <v>69</v>
      </c>
      <c r="B4" t="s">
        <v>70</v>
      </c>
    </row>
    <row r="6" spans="1:10" x14ac:dyDescent="0.3">
      <c r="A6" s="22" t="s">
        <v>59</v>
      </c>
    </row>
    <row r="7" spans="1:10" ht="13.2" customHeight="1" x14ac:dyDescent="0.3">
      <c r="A7" t="s">
        <v>57</v>
      </c>
      <c r="B7">
        <v>0.8</v>
      </c>
      <c r="F7" t="s">
        <v>97</v>
      </c>
      <c r="G7" s="24">
        <f>SUM(H20:H27)</f>
        <v>29531.699999999993</v>
      </c>
    </row>
    <row r="8" spans="1:10" ht="13.2" customHeight="1" x14ac:dyDescent="0.3">
      <c r="A8" t="s">
        <v>72</v>
      </c>
      <c r="B8">
        <v>9.81</v>
      </c>
      <c r="F8" t="s">
        <v>98</v>
      </c>
      <c r="G8" s="24"/>
    </row>
    <row r="9" spans="1:10" ht="14.4" customHeight="1" x14ac:dyDescent="0.3">
      <c r="A9" s="25" t="s">
        <v>67</v>
      </c>
      <c r="B9">
        <v>1.1000000000000001</v>
      </c>
    </row>
    <row r="10" spans="1:10" ht="14.4" customHeight="1" x14ac:dyDescent="0.3">
      <c r="A10" s="25" t="s">
        <v>68</v>
      </c>
      <c r="B10">
        <v>1.2</v>
      </c>
    </row>
    <row r="11" spans="1:10" x14ac:dyDescent="0.3">
      <c r="A11" t="s">
        <v>61</v>
      </c>
      <c r="B11">
        <v>1.0249999999999999</v>
      </c>
    </row>
    <row r="12" spans="1:10" x14ac:dyDescent="0.3">
      <c r="A12" t="s">
        <v>62</v>
      </c>
      <c r="B12" s="23">
        <f>IF(B1&lt;10000, 1.1, 1.15)</f>
        <v>1.1000000000000001</v>
      </c>
    </row>
    <row r="13" spans="1:10" x14ac:dyDescent="0.3">
      <c r="A13" t="s">
        <v>66</v>
      </c>
    </row>
    <row r="14" spans="1:10" x14ac:dyDescent="0.3">
      <c r="A14" t="s">
        <v>64</v>
      </c>
      <c r="B14">
        <v>0.7</v>
      </c>
      <c r="F14" t="s">
        <v>42</v>
      </c>
      <c r="G14">
        <f>ROUNDUP(2*3.14*$B$3/$B$22,0)</f>
        <v>12</v>
      </c>
      <c r="I14" t="s">
        <v>78</v>
      </c>
      <c r="J14">
        <v>70000</v>
      </c>
    </row>
    <row r="15" spans="1:10" x14ac:dyDescent="0.3">
      <c r="A15" t="s">
        <v>65</v>
      </c>
      <c r="B15">
        <v>0.8</v>
      </c>
    </row>
    <row r="16" spans="1:10" x14ac:dyDescent="0.3">
      <c r="A16" t="s">
        <v>71</v>
      </c>
      <c r="B16" s="23">
        <f>IF(B4="+", 2000,0)</f>
        <v>0</v>
      </c>
    </row>
    <row r="18" spans="1:16" x14ac:dyDescent="0.3">
      <c r="A18" s="22" t="s">
        <v>48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  <row r="19" spans="1:16" x14ac:dyDescent="0.3">
      <c r="A19" t="s">
        <v>49</v>
      </c>
      <c r="B19">
        <v>871</v>
      </c>
      <c r="D19" t="s">
        <v>53</v>
      </c>
      <c r="E19" t="s">
        <v>76</v>
      </c>
      <c r="F19" t="s">
        <v>74</v>
      </c>
      <c r="G19" t="s">
        <v>75</v>
      </c>
      <c r="H19" t="s">
        <v>77</v>
      </c>
    </row>
    <row r="20" spans="1:16" x14ac:dyDescent="0.3">
      <c r="A20" t="s">
        <v>50</v>
      </c>
      <c r="B20">
        <v>325</v>
      </c>
      <c r="D20">
        <v>1</v>
      </c>
      <c r="E20" s="26">
        <f>IF(D20&lt;&gt;"",($B$9*$B$19*$B$8*($B$2-$B$21*(D20-1))+$B$10*$B$16)*$B$3/($B$30*10^6*IF(D20=1, $B$14, $B$15))*10^3,  "")</f>
        <v>6.661177931571431</v>
      </c>
      <c r="F20">
        <f>IF(D20&lt;&gt;"", ROUNDUP(($B$9*$B$19*$B$8*($B$2-$B$21*(D20-1))+$B$10*$B$16)*$B$3/($B$30*10^6*IF(D20=1, $B$14, $B$15)), 3),  "")</f>
        <v>7.0000000000000001E-3</v>
      </c>
      <c r="G20">
        <f>IF(D20&lt;&gt;"", MAX(ROUNDUP(($B$9*$B$19*$B$8*($B$2-$B$21*(D20-1))+$B$10*$B$16)*$B$3/($B$30*10^6*IF(D20=1, $B$14, $B$15)), 3), 0.004),  "")</f>
        <v>7.0000000000000001E-3</v>
      </c>
      <c r="H20" s="24">
        <f>7500*2*3.14*$B$3*$B$21*G20</f>
        <v>5440.05</v>
      </c>
      <c r="I20" s="19">
        <f>H20/1000*$J$14</f>
        <v>380803.5</v>
      </c>
    </row>
    <row r="21" spans="1:16" x14ac:dyDescent="0.3">
      <c r="A21" t="s">
        <v>51</v>
      </c>
      <c r="B21">
        <v>1.5</v>
      </c>
      <c r="D21">
        <f t="shared" ref="D21:D26" si="0">IF(D20&lt;&gt;"",IF(ROUNDUP($B$29,0)&gt;=D20+1,D20+1,""), "")</f>
        <v>2</v>
      </c>
      <c r="E21" s="26">
        <f t="shared" ref="E21:E32" si="1">IF(D21&lt;&gt;"",($B$9*$B$19*$B$8*($B$2-$B$21*(D21-1))+$B$10*$B$16)*$B$3/($B$30*10^6*IF(D21=1, $B$14, $B$15))*10^3,  "")</f>
        <v>5.1560079181875009</v>
      </c>
      <c r="F21">
        <f t="shared" ref="F21:F32" si="2">IF(D21&lt;&gt;"", ROUNDUP(($B$9*$B$19*$B$8*($B$2-$B$21*(D21-1))+$B$10*$B$16)*$B$3/($B$20*10^6*IF(D21=1, $B$14, $B$15)), 3),  "")</f>
        <v>5.0000000000000001E-3</v>
      </c>
      <c r="G21">
        <f t="shared" ref="G21:G27" si="3">IF(D21&lt;&gt;"", MAX(ROUNDUP(($B$9*$B$19*$B$8*($B$2-$B$21*(D21-1))+$B$10*$B$16)*$B$3/($B$30*10^6*IF(D21=1, $B$14, $B$15)), 3), 0.004),  "")</f>
        <v>6.0000000000000001E-3</v>
      </c>
      <c r="H21" s="24">
        <f t="shared" ref="H21:H27" si="4">7500*2*3.14*$B$3*$B$21*G21</f>
        <v>4662.9000000000005</v>
      </c>
      <c r="I21" s="19">
        <f t="shared" ref="I21:I27" si="5">H21/1000*$J$14</f>
        <v>326403.00000000006</v>
      </c>
    </row>
    <row r="22" spans="1:16" x14ac:dyDescent="0.3">
      <c r="A22" t="s">
        <v>52</v>
      </c>
      <c r="B22">
        <v>6</v>
      </c>
      <c r="D22">
        <f t="shared" si="0"/>
        <v>3</v>
      </c>
      <c r="E22" s="26">
        <f t="shared" si="1"/>
        <v>4.4834851462500005</v>
      </c>
      <c r="F22">
        <f t="shared" si="2"/>
        <v>4.0000000000000001E-3</v>
      </c>
      <c r="G22">
        <f t="shared" si="3"/>
        <v>5.0000000000000001E-3</v>
      </c>
      <c r="H22" s="24">
        <f t="shared" si="4"/>
        <v>3885.75</v>
      </c>
      <c r="I22" s="19">
        <f t="shared" si="5"/>
        <v>272002.5</v>
      </c>
    </row>
    <row r="23" spans="1:16" x14ac:dyDescent="0.3">
      <c r="D23">
        <f t="shared" si="0"/>
        <v>4</v>
      </c>
      <c r="E23" s="26">
        <f t="shared" si="1"/>
        <v>3.810962374312501</v>
      </c>
      <c r="F23">
        <f t="shared" si="2"/>
        <v>4.0000000000000001E-3</v>
      </c>
      <c r="G23">
        <f t="shared" si="3"/>
        <v>4.0000000000000001E-3</v>
      </c>
      <c r="H23" s="24">
        <f t="shared" si="4"/>
        <v>3108.6</v>
      </c>
      <c r="I23" s="19">
        <f t="shared" si="5"/>
        <v>217602</v>
      </c>
    </row>
    <row r="24" spans="1:16" x14ac:dyDescent="0.3">
      <c r="D24">
        <f t="shared" si="0"/>
        <v>5</v>
      </c>
      <c r="E24" s="26">
        <f t="shared" si="1"/>
        <v>3.138439602375001</v>
      </c>
      <c r="F24">
        <f t="shared" si="2"/>
        <v>3.0000000000000001E-3</v>
      </c>
      <c r="G24">
        <f t="shared" si="3"/>
        <v>4.0000000000000001E-3</v>
      </c>
      <c r="H24" s="24">
        <f t="shared" si="4"/>
        <v>3108.6</v>
      </c>
      <c r="I24" s="19">
        <f t="shared" si="5"/>
        <v>217602</v>
      </c>
    </row>
    <row r="25" spans="1:16" x14ac:dyDescent="0.3">
      <c r="D25">
        <f t="shared" si="0"/>
        <v>6</v>
      </c>
      <c r="E25" s="26">
        <f t="shared" si="1"/>
        <v>2.4659168304375001</v>
      </c>
      <c r="F25">
        <f t="shared" si="2"/>
        <v>3.0000000000000001E-3</v>
      </c>
      <c r="G25">
        <f t="shared" si="3"/>
        <v>4.0000000000000001E-3</v>
      </c>
      <c r="H25" s="24">
        <f t="shared" si="4"/>
        <v>3108.6</v>
      </c>
      <c r="I25" s="19">
        <f t="shared" si="5"/>
        <v>217602</v>
      </c>
    </row>
    <row r="26" spans="1:16" x14ac:dyDescent="0.3">
      <c r="D26">
        <f t="shared" si="0"/>
        <v>7</v>
      </c>
      <c r="E26" s="26">
        <f t="shared" si="1"/>
        <v>1.7933940585000001</v>
      </c>
      <c r="F26">
        <f t="shared" si="2"/>
        <v>2E-3</v>
      </c>
      <c r="G26">
        <f t="shared" si="3"/>
        <v>4.0000000000000001E-3</v>
      </c>
      <c r="H26" s="24">
        <f t="shared" si="4"/>
        <v>3108.6</v>
      </c>
      <c r="I26" s="19">
        <f t="shared" si="5"/>
        <v>217602</v>
      </c>
    </row>
    <row r="27" spans="1:16" x14ac:dyDescent="0.3">
      <c r="D27">
        <f>IF(D26&lt;&gt;"",IF(ROUNDUP($B$29,0)&gt;=D26+1,D26+1,""), "")</f>
        <v>8</v>
      </c>
      <c r="E27" s="26">
        <f t="shared" si="1"/>
        <v>1.1208712865625001</v>
      </c>
      <c r="F27">
        <f t="shared" si="2"/>
        <v>1E-3</v>
      </c>
      <c r="G27">
        <f t="shared" si="3"/>
        <v>4.0000000000000001E-3</v>
      </c>
      <c r="H27" s="24">
        <f t="shared" si="4"/>
        <v>3108.6</v>
      </c>
      <c r="I27" s="19">
        <f t="shared" si="5"/>
        <v>217602</v>
      </c>
    </row>
    <row r="28" spans="1:16" x14ac:dyDescent="0.3">
      <c r="A28" t="s">
        <v>58</v>
      </c>
      <c r="D28">
        <f t="shared" ref="D28:D90" si="6">IF(D27&lt;&gt;"",IF(ROUNDUP($B$29,0)&gt;=D27+1,D27+1,""), "")</f>
        <v>9</v>
      </c>
      <c r="E28" s="26">
        <f t="shared" si="1"/>
        <v>0.44834851462500003</v>
      </c>
      <c r="F28">
        <f t="shared" si="2"/>
        <v>1E-3</v>
      </c>
      <c r="G28" t="s">
        <v>79</v>
      </c>
      <c r="H28" s="24">
        <f>SUM(H20:H27)</f>
        <v>29531.699999999993</v>
      </c>
      <c r="I28" s="19">
        <f>SUM(I20:I27)</f>
        <v>2067219</v>
      </c>
    </row>
    <row r="29" spans="1:16" x14ac:dyDescent="0.3">
      <c r="A29" t="s">
        <v>56</v>
      </c>
      <c r="B29">
        <f>ROUNDUP((B2/B21), 3)</f>
        <v>8.6669999999999998</v>
      </c>
      <c r="D29" t="str">
        <f t="shared" si="6"/>
        <v/>
      </c>
      <c r="E29" s="26" t="str">
        <f t="shared" si="1"/>
        <v/>
      </c>
      <c r="F29" t="str">
        <f t="shared" si="2"/>
        <v/>
      </c>
      <c r="G29" t="s">
        <v>80</v>
      </c>
      <c r="H29" s="24">
        <f>3*H28/4</f>
        <v>22148.774999999994</v>
      </c>
      <c r="I29" s="19">
        <f>H29/1000*$J$14</f>
        <v>1550414.2499999995</v>
      </c>
    </row>
    <row r="30" spans="1:16" x14ac:dyDescent="0.3">
      <c r="A30" t="s">
        <v>63</v>
      </c>
      <c r="B30" s="10">
        <f>B20/(B11*B12)</f>
        <v>288.24833702882484</v>
      </c>
      <c r="D30" t="str">
        <f t="shared" si="6"/>
        <v/>
      </c>
      <c r="E30" s="26" t="str">
        <f t="shared" si="1"/>
        <v/>
      </c>
      <c r="F30" t="str">
        <f t="shared" si="2"/>
        <v/>
      </c>
      <c r="G30" t="s">
        <v>81</v>
      </c>
      <c r="H30">
        <f>H28*0.4+10000</f>
        <v>21812.68</v>
      </c>
      <c r="I30" s="19">
        <f>H30/1000*$J$14</f>
        <v>1526887.6</v>
      </c>
    </row>
    <row r="31" spans="1:16" x14ac:dyDescent="0.3">
      <c r="A31" t="s">
        <v>73</v>
      </c>
      <c r="B31" s="23">
        <f>IF(B3*2&lt;16,5,IF(AND(B3*2&gt;=16, B3*2&lt;25),6, IF(AND(B3*2&gt;=25, B3*2&lt;40),8,IF(AND(B3*2&gt;=40, B3*2&lt;65),10, 12))))*10^-3</f>
        <v>6.0000000000000001E-3</v>
      </c>
      <c r="D31" t="str">
        <f t="shared" si="6"/>
        <v/>
      </c>
      <c r="E31" s="26" t="str">
        <f t="shared" si="1"/>
        <v/>
      </c>
      <c r="F31" t="str">
        <f t="shared" si="2"/>
        <v/>
      </c>
      <c r="I31" s="27">
        <f>SUM(I28:I30)</f>
        <v>5144520.8499999996</v>
      </c>
    </row>
    <row r="32" spans="1:16" x14ac:dyDescent="0.3">
      <c r="D32" t="str">
        <f t="shared" si="6"/>
        <v/>
      </c>
      <c r="E32" s="26" t="str">
        <f t="shared" si="1"/>
        <v/>
      </c>
      <c r="F32" t="str">
        <f t="shared" si="2"/>
        <v/>
      </c>
    </row>
    <row r="33" spans="4:8" x14ac:dyDescent="0.3">
      <c r="D33" t="str">
        <f t="shared" si="6"/>
        <v/>
      </c>
      <c r="E33" s="26" t="str">
        <f t="shared" ref="E33:E84" si="7">IF(D33&lt;&gt;"", ($B$9*$B$19*$B$8*($B$2-$B$21*(D33-1))+$B$10*$B$16)*$B$3/($B$20*10^6*IF(D33=1, $B$14, $B$15)),  "")</f>
        <v/>
      </c>
      <c r="H33">
        <f>7500*3.14*$B$3^2*G20</f>
        <v>19946.850000000002</v>
      </c>
    </row>
    <row r="34" spans="4:8" x14ac:dyDescent="0.3">
      <c r="D34" t="str">
        <f t="shared" si="6"/>
        <v/>
      </c>
      <c r="E34" s="26" t="str">
        <f t="shared" si="7"/>
        <v/>
      </c>
    </row>
    <row r="35" spans="4:8" x14ac:dyDescent="0.3">
      <c r="D35" t="str">
        <f t="shared" si="6"/>
        <v/>
      </c>
      <c r="E35" s="26" t="str">
        <f t="shared" si="7"/>
        <v/>
      </c>
    </row>
    <row r="36" spans="4:8" x14ac:dyDescent="0.3">
      <c r="D36" t="str">
        <f t="shared" si="6"/>
        <v/>
      </c>
      <c r="E36" s="26" t="str">
        <f t="shared" si="7"/>
        <v/>
      </c>
    </row>
    <row r="37" spans="4:8" x14ac:dyDescent="0.3">
      <c r="D37" t="str">
        <f t="shared" si="6"/>
        <v/>
      </c>
      <c r="E37" s="26" t="str">
        <f t="shared" si="7"/>
        <v/>
      </c>
    </row>
    <row r="38" spans="4:8" x14ac:dyDescent="0.3">
      <c r="D38" t="str">
        <f t="shared" si="6"/>
        <v/>
      </c>
      <c r="E38" s="26" t="str">
        <f t="shared" si="7"/>
        <v/>
      </c>
    </row>
    <row r="39" spans="4:8" x14ac:dyDescent="0.3">
      <c r="D39" t="str">
        <f t="shared" si="6"/>
        <v/>
      </c>
      <c r="E39" s="26" t="str">
        <f t="shared" si="7"/>
        <v/>
      </c>
    </row>
    <row r="40" spans="4:8" x14ac:dyDescent="0.3">
      <c r="D40" t="str">
        <f t="shared" si="6"/>
        <v/>
      </c>
      <c r="E40" s="26" t="str">
        <f t="shared" si="7"/>
        <v/>
      </c>
    </row>
    <row r="41" spans="4:8" x14ac:dyDescent="0.3">
      <c r="D41" t="str">
        <f t="shared" si="6"/>
        <v/>
      </c>
      <c r="E41" s="26" t="str">
        <f t="shared" si="7"/>
        <v/>
      </c>
    </row>
    <row r="42" spans="4:8" x14ac:dyDescent="0.3">
      <c r="D42" t="str">
        <f t="shared" si="6"/>
        <v/>
      </c>
      <c r="E42" s="26" t="str">
        <f t="shared" si="7"/>
        <v/>
      </c>
    </row>
    <row r="43" spans="4:8" x14ac:dyDescent="0.3">
      <c r="D43" t="str">
        <f t="shared" si="6"/>
        <v/>
      </c>
      <c r="E43" s="26" t="str">
        <f t="shared" si="7"/>
        <v/>
      </c>
    </row>
    <row r="44" spans="4:8" x14ac:dyDescent="0.3">
      <c r="D44" t="str">
        <f t="shared" si="6"/>
        <v/>
      </c>
      <c r="E44" s="26" t="str">
        <f t="shared" si="7"/>
        <v/>
      </c>
    </row>
    <row r="45" spans="4:8" x14ac:dyDescent="0.3">
      <c r="D45" t="str">
        <f t="shared" si="6"/>
        <v/>
      </c>
      <c r="E45" s="26" t="str">
        <f t="shared" si="7"/>
        <v/>
      </c>
    </row>
    <row r="46" spans="4:8" x14ac:dyDescent="0.3">
      <c r="D46" t="str">
        <f t="shared" si="6"/>
        <v/>
      </c>
      <c r="E46" s="26" t="str">
        <f t="shared" si="7"/>
        <v/>
      </c>
    </row>
    <row r="47" spans="4:8" x14ac:dyDescent="0.3">
      <c r="D47" t="str">
        <f t="shared" si="6"/>
        <v/>
      </c>
      <c r="E47" s="26" t="str">
        <f t="shared" si="7"/>
        <v/>
      </c>
    </row>
    <row r="48" spans="4:8" x14ac:dyDescent="0.3">
      <c r="D48" t="str">
        <f t="shared" si="6"/>
        <v/>
      </c>
      <c r="E48" s="26" t="str">
        <f t="shared" si="7"/>
        <v/>
      </c>
    </row>
    <row r="49" spans="4:5" x14ac:dyDescent="0.3">
      <c r="D49" t="str">
        <f t="shared" si="6"/>
        <v/>
      </c>
      <c r="E49" s="26" t="str">
        <f t="shared" si="7"/>
        <v/>
      </c>
    </row>
    <row r="50" spans="4:5" x14ac:dyDescent="0.3">
      <c r="D50" t="str">
        <f t="shared" si="6"/>
        <v/>
      </c>
      <c r="E50" s="26" t="str">
        <f t="shared" si="7"/>
        <v/>
      </c>
    </row>
    <row r="51" spans="4:5" x14ac:dyDescent="0.3">
      <c r="D51" t="str">
        <f t="shared" si="6"/>
        <v/>
      </c>
      <c r="E51" s="26" t="str">
        <f t="shared" si="7"/>
        <v/>
      </c>
    </row>
    <row r="52" spans="4:5" x14ac:dyDescent="0.3">
      <c r="D52" t="str">
        <f t="shared" si="6"/>
        <v/>
      </c>
      <c r="E52" s="26" t="str">
        <f t="shared" si="7"/>
        <v/>
      </c>
    </row>
    <row r="53" spans="4:5" x14ac:dyDescent="0.3">
      <c r="D53" t="str">
        <f t="shared" si="6"/>
        <v/>
      </c>
      <c r="E53" s="26" t="str">
        <f t="shared" si="7"/>
        <v/>
      </c>
    </row>
    <row r="54" spans="4:5" x14ac:dyDescent="0.3">
      <c r="D54" t="str">
        <f t="shared" si="6"/>
        <v/>
      </c>
      <c r="E54" s="26" t="str">
        <f t="shared" si="7"/>
        <v/>
      </c>
    </row>
    <row r="55" spans="4:5" x14ac:dyDescent="0.3">
      <c r="D55" t="str">
        <f t="shared" si="6"/>
        <v/>
      </c>
      <c r="E55" s="26" t="str">
        <f t="shared" si="7"/>
        <v/>
      </c>
    </row>
    <row r="56" spans="4:5" x14ac:dyDescent="0.3">
      <c r="D56" t="str">
        <f t="shared" si="6"/>
        <v/>
      </c>
      <c r="E56" s="26" t="str">
        <f t="shared" si="7"/>
        <v/>
      </c>
    </row>
    <row r="57" spans="4:5" x14ac:dyDescent="0.3">
      <c r="D57" t="str">
        <f t="shared" si="6"/>
        <v/>
      </c>
      <c r="E57" s="26" t="str">
        <f t="shared" si="7"/>
        <v/>
      </c>
    </row>
    <row r="58" spans="4:5" x14ac:dyDescent="0.3">
      <c r="D58" t="str">
        <f t="shared" si="6"/>
        <v/>
      </c>
      <c r="E58" s="26" t="str">
        <f t="shared" si="7"/>
        <v/>
      </c>
    </row>
    <row r="59" spans="4:5" x14ac:dyDescent="0.3">
      <c r="D59" t="str">
        <f t="shared" si="6"/>
        <v/>
      </c>
      <c r="E59" s="26" t="str">
        <f t="shared" si="7"/>
        <v/>
      </c>
    </row>
    <row r="60" spans="4:5" x14ac:dyDescent="0.3">
      <c r="D60" t="str">
        <f t="shared" si="6"/>
        <v/>
      </c>
      <c r="E60" s="26" t="str">
        <f t="shared" si="7"/>
        <v/>
      </c>
    </row>
    <row r="61" spans="4:5" x14ac:dyDescent="0.3">
      <c r="D61" t="str">
        <f t="shared" si="6"/>
        <v/>
      </c>
      <c r="E61" s="26" t="str">
        <f t="shared" si="7"/>
        <v/>
      </c>
    </row>
    <row r="62" spans="4:5" x14ac:dyDescent="0.3">
      <c r="D62" t="str">
        <f t="shared" si="6"/>
        <v/>
      </c>
      <c r="E62" s="26" t="str">
        <f t="shared" si="7"/>
        <v/>
      </c>
    </row>
    <row r="63" spans="4:5" x14ac:dyDescent="0.3">
      <c r="D63" t="str">
        <f t="shared" si="6"/>
        <v/>
      </c>
      <c r="E63" s="26" t="str">
        <f t="shared" si="7"/>
        <v/>
      </c>
    </row>
    <row r="64" spans="4:5" x14ac:dyDescent="0.3">
      <c r="D64" t="str">
        <f t="shared" si="6"/>
        <v/>
      </c>
      <c r="E64" s="26" t="str">
        <f t="shared" si="7"/>
        <v/>
      </c>
    </row>
    <row r="65" spans="4:5" x14ac:dyDescent="0.3">
      <c r="D65" t="str">
        <f t="shared" si="6"/>
        <v/>
      </c>
      <c r="E65" s="26" t="str">
        <f t="shared" si="7"/>
        <v/>
      </c>
    </row>
    <row r="66" spans="4:5" x14ac:dyDescent="0.3">
      <c r="D66" t="str">
        <f t="shared" si="6"/>
        <v/>
      </c>
      <c r="E66" s="26" t="str">
        <f t="shared" si="7"/>
        <v/>
      </c>
    </row>
    <row r="67" spans="4:5" x14ac:dyDescent="0.3">
      <c r="D67" t="str">
        <f t="shared" si="6"/>
        <v/>
      </c>
      <c r="E67" s="26" t="str">
        <f t="shared" si="7"/>
        <v/>
      </c>
    </row>
    <row r="68" spans="4:5" x14ac:dyDescent="0.3">
      <c r="D68" t="str">
        <f t="shared" si="6"/>
        <v/>
      </c>
      <c r="E68" s="26" t="str">
        <f t="shared" si="7"/>
        <v/>
      </c>
    </row>
    <row r="69" spans="4:5" x14ac:dyDescent="0.3">
      <c r="D69" t="str">
        <f t="shared" si="6"/>
        <v/>
      </c>
      <c r="E69" s="26" t="str">
        <f t="shared" si="7"/>
        <v/>
      </c>
    </row>
    <row r="70" spans="4:5" x14ac:dyDescent="0.3">
      <c r="D70" t="str">
        <f t="shared" si="6"/>
        <v/>
      </c>
      <c r="E70" s="26" t="str">
        <f t="shared" si="7"/>
        <v/>
      </c>
    </row>
    <row r="71" spans="4:5" x14ac:dyDescent="0.3">
      <c r="D71" t="str">
        <f t="shared" si="6"/>
        <v/>
      </c>
      <c r="E71" s="26" t="str">
        <f t="shared" si="7"/>
        <v/>
      </c>
    </row>
    <row r="72" spans="4:5" x14ac:dyDescent="0.3">
      <c r="D72" t="str">
        <f t="shared" si="6"/>
        <v/>
      </c>
      <c r="E72" s="26" t="str">
        <f t="shared" si="7"/>
        <v/>
      </c>
    </row>
    <row r="73" spans="4:5" x14ac:dyDescent="0.3">
      <c r="D73" t="str">
        <f t="shared" si="6"/>
        <v/>
      </c>
      <c r="E73" s="26" t="str">
        <f t="shared" si="7"/>
        <v/>
      </c>
    </row>
    <row r="74" spans="4:5" x14ac:dyDescent="0.3">
      <c r="D74" t="str">
        <f t="shared" si="6"/>
        <v/>
      </c>
      <c r="E74" s="26" t="str">
        <f t="shared" si="7"/>
        <v/>
      </c>
    </row>
    <row r="75" spans="4:5" x14ac:dyDescent="0.3">
      <c r="D75" t="str">
        <f t="shared" si="6"/>
        <v/>
      </c>
      <c r="E75" s="26" t="str">
        <f t="shared" si="7"/>
        <v/>
      </c>
    </row>
    <row r="76" spans="4:5" x14ac:dyDescent="0.3">
      <c r="D76" t="str">
        <f t="shared" si="6"/>
        <v/>
      </c>
      <c r="E76" s="26" t="str">
        <f t="shared" si="7"/>
        <v/>
      </c>
    </row>
    <row r="77" spans="4:5" x14ac:dyDescent="0.3">
      <c r="D77" t="str">
        <f t="shared" si="6"/>
        <v/>
      </c>
      <c r="E77" s="26" t="str">
        <f t="shared" si="7"/>
        <v/>
      </c>
    </row>
    <row r="78" spans="4:5" x14ac:dyDescent="0.3">
      <c r="D78" t="str">
        <f t="shared" si="6"/>
        <v/>
      </c>
      <c r="E78" s="26" t="str">
        <f t="shared" si="7"/>
        <v/>
      </c>
    </row>
    <row r="79" spans="4:5" x14ac:dyDescent="0.3">
      <c r="D79" t="str">
        <f t="shared" si="6"/>
        <v/>
      </c>
      <c r="E79" s="26" t="str">
        <f t="shared" si="7"/>
        <v/>
      </c>
    </row>
    <row r="80" spans="4:5" x14ac:dyDescent="0.3">
      <c r="D80" t="str">
        <f t="shared" si="6"/>
        <v/>
      </c>
      <c r="E80" s="26" t="str">
        <f t="shared" si="7"/>
        <v/>
      </c>
    </row>
    <row r="81" spans="4:5" x14ac:dyDescent="0.3">
      <c r="D81" t="str">
        <f t="shared" si="6"/>
        <v/>
      </c>
      <c r="E81" s="26" t="str">
        <f t="shared" si="7"/>
        <v/>
      </c>
    </row>
    <row r="82" spans="4:5" x14ac:dyDescent="0.3">
      <c r="D82" t="str">
        <f t="shared" si="6"/>
        <v/>
      </c>
      <c r="E82" s="26" t="str">
        <f t="shared" si="7"/>
        <v/>
      </c>
    </row>
    <row r="83" spans="4:5" x14ac:dyDescent="0.3">
      <c r="D83" t="str">
        <f t="shared" si="6"/>
        <v/>
      </c>
      <c r="E83" s="26" t="str">
        <f t="shared" si="7"/>
        <v/>
      </c>
    </row>
    <row r="84" spans="4:5" x14ac:dyDescent="0.3">
      <c r="D84" t="str">
        <f t="shared" si="6"/>
        <v/>
      </c>
      <c r="E84" s="26" t="str">
        <f t="shared" si="7"/>
        <v/>
      </c>
    </row>
    <row r="85" spans="4:5" x14ac:dyDescent="0.3">
      <c r="D85" t="str">
        <f t="shared" si="6"/>
        <v/>
      </c>
      <c r="E85" s="26" t="str">
        <f t="shared" ref="E85:E148" si="8">IF(D85&lt;&gt;"", ($B$9*$B$19*$B$8*($B$2-$B$21*(D85-1))+$B$10*$B$16)*$B$3/($B$20*10^6*IF(D85=1, $B$14, $B$15)),  "")</f>
        <v/>
      </c>
    </row>
    <row r="86" spans="4:5" x14ac:dyDescent="0.3">
      <c r="D86" t="str">
        <f t="shared" si="6"/>
        <v/>
      </c>
      <c r="E86" s="26" t="str">
        <f t="shared" si="8"/>
        <v/>
      </c>
    </row>
    <row r="87" spans="4:5" x14ac:dyDescent="0.3">
      <c r="D87" t="str">
        <f t="shared" si="6"/>
        <v/>
      </c>
      <c r="E87" s="26" t="str">
        <f t="shared" si="8"/>
        <v/>
      </c>
    </row>
    <row r="88" spans="4:5" x14ac:dyDescent="0.3">
      <c r="D88" t="str">
        <f t="shared" si="6"/>
        <v/>
      </c>
      <c r="E88" s="26" t="str">
        <f t="shared" si="8"/>
        <v/>
      </c>
    </row>
    <row r="89" spans="4:5" x14ac:dyDescent="0.3">
      <c r="D89" t="str">
        <f t="shared" si="6"/>
        <v/>
      </c>
      <c r="E89" s="26" t="str">
        <f t="shared" si="8"/>
        <v/>
      </c>
    </row>
    <row r="90" spans="4:5" x14ac:dyDescent="0.3">
      <c r="D90" t="str">
        <f t="shared" si="6"/>
        <v/>
      </c>
      <c r="E90" s="26" t="str">
        <f t="shared" si="8"/>
        <v/>
      </c>
    </row>
    <row r="91" spans="4:5" x14ac:dyDescent="0.3">
      <c r="D91" t="str">
        <f t="shared" ref="D91:D154" si="9">IF(D90&lt;&gt;"",IF(ROUNDUP($B$29,0)&gt;=D90+1,D90+1,""), "")</f>
        <v/>
      </c>
      <c r="E91" s="26" t="str">
        <f t="shared" si="8"/>
        <v/>
      </c>
    </row>
    <row r="92" spans="4:5" x14ac:dyDescent="0.3">
      <c r="D92" t="str">
        <f t="shared" si="9"/>
        <v/>
      </c>
      <c r="E92" s="26" t="str">
        <f t="shared" si="8"/>
        <v/>
      </c>
    </row>
    <row r="93" spans="4:5" x14ac:dyDescent="0.3">
      <c r="D93" t="str">
        <f t="shared" si="9"/>
        <v/>
      </c>
      <c r="E93" s="26" t="str">
        <f t="shared" si="8"/>
        <v/>
      </c>
    </row>
    <row r="94" spans="4:5" x14ac:dyDescent="0.3">
      <c r="D94" t="str">
        <f t="shared" si="9"/>
        <v/>
      </c>
      <c r="E94" s="26" t="str">
        <f t="shared" si="8"/>
        <v/>
      </c>
    </row>
    <row r="95" spans="4:5" x14ac:dyDescent="0.3">
      <c r="D95" t="str">
        <f t="shared" si="9"/>
        <v/>
      </c>
      <c r="E95" s="26" t="str">
        <f t="shared" si="8"/>
        <v/>
      </c>
    </row>
    <row r="96" spans="4:5" x14ac:dyDescent="0.3">
      <c r="D96" t="str">
        <f t="shared" si="9"/>
        <v/>
      </c>
      <c r="E96" s="26" t="str">
        <f t="shared" si="8"/>
        <v/>
      </c>
    </row>
    <row r="97" spans="4:5" x14ac:dyDescent="0.3">
      <c r="D97" t="str">
        <f t="shared" si="9"/>
        <v/>
      </c>
      <c r="E97" s="26" t="str">
        <f t="shared" si="8"/>
        <v/>
      </c>
    </row>
    <row r="98" spans="4:5" x14ac:dyDescent="0.3">
      <c r="D98" t="str">
        <f t="shared" si="9"/>
        <v/>
      </c>
      <c r="E98" s="26" t="str">
        <f t="shared" si="8"/>
        <v/>
      </c>
    </row>
    <row r="99" spans="4:5" x14ac:dyDescent="0.3">
      <c r="D99" t="str">
        <f t="shared" si="9"/>
        <v/>
      </c>
      <c r="E99" s="26" t="str">
        <f t="shared" si="8"/>
        <v/>
      </c>
    </row>
    <row r="100" spans="4:5" x14ac:dyDescent="0.3">
      <c r="D100" t="str">
        <f t="shared" si="9"/>
        <v/>
      </c>
      <c r="E100" s="26" t="str">
        <f t="shared" si="8"/>
        <v/>
      </c>
    </row>
    <row r="101" spans="4:5" x14ac:dyDescent="0.3">
      <c r="D101" t="str">
        <f t="shared" si="9"/>
        <v/>
      </c>
      <c r="E101" s="26" t="str">
        <f t="shared" si="8"/>
        <v/>
      </c>
    </row>
    <row r="102" spans="4:5" x14ac:dyDescent="0.3">
      <c r="D102" t="str">
        <f t="shared" si="9"/>
        <v/>
      </c>
      <c r="E102" s="26" t="str">
        <f t="shared" si="8"/>
        <v/>
      </c>
    </row>
    <row r="103" spans="4:5" x14ac:dyDescent="0.3">
      <c r="D103" t="str">
        <f t="shared" si="9"/>
        <v/>
      </c>
      <c r="E103" s="26" t="str">
        <f t="shared" si="8"/>
        <v/>
      </c>
    </row>
    <row r="104" spans="4:5" x14ac:dyDescent="0.3">
      <c r="D104" t="str">
        <f t="shared" si="9"/>
        <v/>
      </c>
      <c r="E104" s="26" t="str">
        <f t="shared" si="8"/>
        <v/>
      </c>
    </row>
    <row r="105" spans="4:5" x14ac:dyDescent="0.3">
      <c r="D105" t="str">
        <f t="shared" si="9"/>
        <v/>
      </c>
      <c r="E105" s="26" t="str">
        <f t="shared" si="8"/>
        <v/>
      </c>
    </row>
    <row r="106" spans="4:5" x14ac:dyDescent="0.3">
      <c r="D106" t="str">
        <f t="shared" si="9"/>
        <v/>
      </c>
      <c r="E106" s="26" t="str">
        <f t="shared" si="8"/>
        <v/>
      </c>
    </row>
    <row r="107" spans="4:5" x14ac:dyDescent="0.3">
      <c r="D107" t="str">
        <f t="shared" si="9"/>
        <v/>
      </c>
      <c r="E107" s="26" t="str">
        <f t="shared" si="8"/>
        <v/>
      </c>
    </row>
    <row r="108" spans="4:5" x14ac:dyDescent="0.3">
      <c r="D108" t="str">
        <f t="shared" si="9"/>
        <v/>
      </c>
      <c r="E108" s="26" t="str">
        <f t="shared" si="8"/>
        <v/>
      </c>
    </row>
    <row r="109" spans="4:5" x14ac:dyDescent="0.3">
      <c r="D109" t="str">
        <f t="shared" si="9"/>
        <v/>
      </c>
      <c r="E109" s="26" t="str">
        <f t="shared" si="8"/>
        <v/>
      </c>
    </row>
    <row r="110" spans="4:5" x14ac:dyDescent="0.3">
      <c r="D110" t="str">
        <f t="shared" si="9"/>
        <v/>
      </c>
      <c r="E110" s="26" t="str">
        <f t="shared" si="8"/>
        <v/>
      </c>
    </row>
    <row r="111" spans="4:5" x14ac:dyDescent="0.3">
      <c r="D111" t="str">
        <f t="shared" si="9"/>
        <v/>
      </c>
      <c r="E111" s="26" t="str">
        <f t="shared" si="8"/>
        <v/>
      </c>
    </row>
    <row r="112" spans="4:5" x14ac:dyDescent="0.3">
      <c r="D112" t="str">
        <f t="shared" si="9"/>
        <v/>
      </c>
      <c r="E112" s="26" t="str">
        <f t="shared" si="8"/>
        <v/>
      </c>
    </row>
    <row r="113" spans="4:5" x14ac:dyDescent="0.3">
      <c r="D113" t="str">
        <f t="shared" si="9"/>
        <v/>
      </c>
      <c r="E113" s="26" t="str">
        <f t="shared" si="8"/>
        <v/>
      </c>
    </row>
    <row r="114" spans="4:5" x14ac:dyDescent="0.3">
      <c r="D114" t="str">
        <f t="shared" si="9"/>
        <v/>
      </c>
      <c r="E114" s="26" t="str">
        <f t="shared" si="8"/>
        <v/>
      </c>
    </row>
    <row r="115" spans="4:5" x14ac:dyDescent="0.3">
      <c r="D115" t="str">
        <f t="shared" si="9"/>
        <v/>
      </c>
      <c r="E115" s="26" t="str">
        <f t="shared" si="8"/>
        <v/>
      </c>
    </row>
    <row r="116" spans="4:5" x14ac:dyDescent="0.3">
      <c r="D116" t="str">
        <f t="shared" si="9"/>
        <v/>
      </c>
      <c r="E116" s="26" t="str">
        <f t="shared" si="8"/>
        <v/>
      </c>
    </row>
    <row r="117" spans="4:5" x14ac:dyDescent="0.3">
      <c r="D117" t="str">
        <f t="shared" si="9"/>
        <v/>
      </c>
      <c r="E117" s="26" t="str">
        <f t="shared" si="8"/>
        <v/>
      </c>
    </row>
    <row r="118" spans="4:5" x14ac:dyDescent="0.3">
      <c r="D118" t="str">
        <f t="shared" si="9"/>
        <v/>
      </c>
      <c r="E118" s="26" t="str">
        <f t="shared" si="8"/>
        <v/>
      </c>
    </row>
    <row r="119" spans="4:5" x14ac:dyDescent="0.3">
      <c r="D119" t="str">
        <f t="shared" si="9"/>
        <v/>
      </c>
      <c r="E119" s="26" t="str">
        <f t="shared" si="8"/>
        <v/>
      </c>
    </row>
    <row r="120" spans="4:5" x14ac:dyDescent="0.3">
      <c r="D120" t="str">
        <f t="shared" si="9"/>
        <v/>
      </c>
      <c r="E120" s="26" t="str">
        <f t="shared" si="8"/>
        <v/>
      </c>
    </row>
    <row r="121" spans="4:5" x14ac:dyDescent="0.3">
      <c r="D121" t="str">
        <f t="shared" si="9"/>
        <v/>
      </c>
      <c r="E121" s="26" t="str">
        <f t="shared" si="8"/>
        <v/>
      </c>
    </row>
    <row r="122" spans="4:5" x14ac:dyDescent="0.3">
      <c r="D122" t="str">
        <f t="shared" si="9"/>
        <v/>
      </c>
      <c r="E122" s="26" t="str">
        <f t="shared" si="8"/>
        <v/>
      </c>
    </row>
    <row r="123" spans="4:5" x14ac:dyDescent="0.3">
      <c r="D123" t="str">
        <f t="shared" si="9"/>
        <v/>
      </c>
      <c r="E123" s="26" t="str">
        <f t="shared" si="8"/>
        <v/>
      </c>
    </row>
    <row r="124" spans="4:5" x14ac:dyDescent="0.3">
      <c r="D124" t="str">
        <f t="shared" si="9"/>
        <v/>
      </c>
      <c r="E124" s="26" t="str">
        <f t="shared" si="8"/>
        <v/>
      </c>
    </row>
    <row r="125" spans="4:5" x14ac:dyDescent="0.3">
      <c r="D125" t="str">
        <f t="shared" si="9"/>
        <v/>
      </c>
      <c r="E125" s="26" t="str">
        <f t="shared" si="8"/>
        <v/>
      </c>
    </row>
    <row r="126" spans="4:5" x14ac:dyDescent="0.3">
      <c r="D126" t="str">
        <f t="shared" si="9"/>
        <v/>
      </c>
      <c r="E126" s="26" t="str">
        <f t="shared" si="8"/>
        <v/>
      </c>
    </row>
    <row r="127" spans="4:5" x14ac:dyDescent="0.3">
      <c r="D127" t="str">
        <f t="shared" si="9"/>
        <v/>
      </c>
      <c r="E127" s="26" t="str">
        <f t="shared" si="8"/>
        <v/>
      </c>
    </row>
    <row r="128" spans="4:5" x14ac:dyDescent="0.3">
      <c r="D128" t="str">
        <f t="shared" si="9"/>
        <v/>
      </c>
      <c r="E128" s="26" t="str">
        <f t="shared" si="8"/>
        <v/>
      </c>
    </row>
    <row r="129" spans="4:5" x14ac:dyDescent="0.3">
      <c r="D129" t="str">
        <f t="shared" si="9"/>
        <v/>
      </c>
      <c r="E129" s="26" t="str">
        <f t="shared" si="8"/>
        <v/>
      </c>
    </row>
    <row r="130" spans="4:5" x14ac:dyDescent="0.3">
      <c r="D130" t="str">
        <f t="shared" si="9"/>
        <v/>
      </c>
      <c r="E130" s="26" t="str">
        <f t="shared" si="8"/>
        <v/>
      </c>
    </row>
    <row r="131" spans="4:5" x14ac:dyDescent="0.3">
      <c r="D131" t="str">
        <f t="shared" si="9"/>
        <v/>
      </c>
      <c r="E131" s="26" t="str">
        <f t="shared" si="8"/>
        <v/>
      </c>
    </row>
    <row r="132" spans="4:5" x14ac:dyDescent="0.3">
      <c r="D132" t="str">
        <f t="shared" si="9"/>
        <v/>
      </c>
      <c r="E132" s="26" t="str">
        <f t="shared" si="8"/>
        <v/>
      </c>
    </row>
    <row r="133" spans="4:5" x14ac:dyDescent="0.3">
      <c r="D133" t="str">
        <f t="shared" si="9"/>
        <v/>
      </c>
      <c r="E133" s="26" t="str">
        <f t="shared" si="8"/>
        <v/>
      </c>
    </row>
    <row r="134" spans="4:5" x14ac:dyDescent="0.3">
      <c r="D134" t="str">
        <f t="shared" si="9"/>
        <v/>
      </c>
      <c r="E134" s="26" t="str">
        <f t="shared" si="8"/>
        <v/>
      </c>
    </row>
    <row r="135" spans="4:5" x14ac:dyDescent="0.3">
      <c r="D135" t="str">
        <f t="shared" si="9"/>
        <v/>
      </c>
      <c r="E135" s="26" t="str">
        <f t="shared" si="8"/>
        <v/>
      </c>
    </row>
    <row r="136" spans="4:5" x14ac:dyDescent="0.3">
      <c r="D136" t="str">
        <f t="shared" si="9"/>
        <v/>
      </c>
      <c r="E136" s="26" t="str">
        <f t="shared" si="8"/>
        <v/>
      </c>
    </row>
    <row r="137" spans="4:5" x14ac:dyDescent="0.3">
      <c r="D137" t="str">
        <f t="shared" si="9"/>
        <v/>
      </c>
      <c r="E137" s="26" t="str">
        <f t="shared" si="8"/>
        <v/>
      </c>
    </row>
    <row r="138" spans="4:5" x14ac:dyDescent="0.3">
      <c r="D138" t="str">
        <f t="shared" si="9"/>
        <v/>
      </c>
      <c r="E138" s="26" t="str">
        <f t="shared" si="8"/>
        <v/>
      </c>
    </row>
    <row r="139" spans="4:5" x14ac:dyDescent="0.3">
      <c r="D139" t="str">
        <f t="shared" si="9"/>
        <v/>
      </c>
      <c r="E139" s="26" t="str">
        <f t="shared" si="8"/>
        <v/>
      </c>
    </row>
    <row r="140" spans="4:5" x14ac:dyDescent="0.3">
      <c r="D140" t="str">
        <f t="shared" si="9"/>
        <v/>
      </c>
      <c r="E140" s="26" t="str">
        <f t="shared" si="8"/>
        <v/>
      </c>
    </row>
    <row r="141" spans="4:5" x14ac:dyDescent="0.3">
      <c r="D141" t="str">
        <f t="shared" si="9"/>
        <v/>
      </c>
      <c r="E141" s="26" t="str">
        <f t="shared" si="8"/>
        <v/>
      </c>
    </row>
    <row r="142" spans="4:5" x14ac:dyDescent="0.3">
      <c r="D142" t="str">
        <f t="shared" si="9"/>
        <v/>
      </c>
      <c r="E142" s="26" t="str">
        <f t="shared" si="8"/>
        <v/>
      </c>
    </row>
    <row r="143" spans="4:5" x14ac:dyDescent="0.3">
      <c r="D143" t="str">
        <f t="shared" si="9"/>
        <v/>
      </c>
      <c r="E143" s="26" t="str">
        <f t="shared" si="8"/>
        <v/>
      </c>
    </row>
    <row r="144" spans="4:5" x14ac:dyDescent="0.3">
      <c r="D144" t="str">
        <f t="shared" si="9"/>
        <v/>
      </c>
      <c r="E144" s="26" t="str">
        <f t="shared" si="8"/>
        <v/>
      </c>
    </row>
    <row r="145" spans="4:5" x14ac:dyDescent="0.3">
      <c r="D145" t="str">
        <f t="shared" si="9"/>
        <v/>
      </c>
      <c r="E145" s="26" t="str">
        <f t="shared" si="8"/>
        <v/>
      </c>
    </row>
    <row r="146" spans="4:5" x14ac:dyDescent="0.3">
      <c r="D146" t="str">
        <f t="shared" si="9"/>
        <v/>
      </c>
      <c r="E146" s="26" t="str">
        <f t="shared" si="8"/>
        <v/>
      </c>
    </row>
    <row r="147" spans="4:5" x14ac:dyDescent="0.3">
      <c r="D147" t="str">
        <f t="shared" si="9"/>
        <v/>
      </c>
      <c r="E147" s="26" t="str">
        <f t="shared" si="8"/>
        <v/>
      </c>
    </row>
    <row r="148" spans="4:5" x14ac:dyDescent="0.3">
      <c r="D148" t="str">
        <f t="shared" si="9"/>
        <v/>
      </c>
      <c r="E148" s="26" t="str">
        <f t="shared" si="8"/>
        <v/>
      </c>
    </row>
    <row r="149" spans="4:5" x14ac:dyDescent="0.3">
      <c r="D149" t="str">
        <f t="shared" si="9"/>
        <v/>
      </c>
      <c r="E149" s="26" t="str">
        <f t="shared" ref="E149:E212" si="10">IF(D149&lt;&gt;"", ($B$9*$B$19*$B$8*($B$2-$B$21*(D149-1))+$B$10*$B$16)*$B$3/($B$20*10^6*IF(D149=1, $B$14, $B$15)),  "")</f>
        <v/>
      </c>
    </row>
    <row r="150" spans="4:5" x14ac:dyDescent="0.3">
      <c r="D150" t="str">
        <f t="shared" si="9"/>
        <v/>
      </c>
      <c r="E150" s="26" t="str">
        <f t="shared" si="10"/>
        <v/>
      </c>
    </row>
    <row r="151" spans="4:5" x14ac:dyDescent="0.3">
      <c r="D151" t="str">
        <f t="shared" si="9"/>
        <v/>
      </c>
      <c r="E151" s="26" t="str">
        <f t="shared" si="10"/>
        <v/>
      </c>
    </row>
    <row r="152" spans="4:5" x14ac:dyDescent="0.3">
      <c r="D152" t="str">
        <f t="shared" si="9"/>
        <v/>
      </c>
      <c r="E152" s="26" t="str">
        <f t="shared" si="10"/>
        <v/>
      </c>
    </row>
    <row r="153" spans="4:5" x14ac:dyDescent="0.3">
      <c r="D153" t="str">
        <f t="shared" si="9"/>
        <v/>
      </c>
      <c r="E153" s="26" t="str">
        <f t="shared" si="10"/>
        <v/>
      </c>
    </row>
    <row r="154" spans="4:5" x14ac:dyDescent="0.3">
      <c r="D154" t="str">
        <f t="shared" si="9"/>
        <v/>
      </c>
      <c r="E154" s="26" t="str">
        <f t="shared" si="10"/>
        <v/>
      </c>
    </row>
    <row r="155" spans="4:5" x14ac:dyDescent="0.3">
      <c r="D155" t="str">
        <f t="shared" ref="D155:D189" si="11">IF(D154&lt;&gt;"",IF(ROUNDUP($B$29,0)&gt;=D154+1,D154+1,""), "")</f>
        <v/>
      </c>
      <c r="E155" s="26" t="str">
        <f t="shared" si="10"/>
        <v/>
      </c>
    </row>
    <row r="156" spans="4:5" x14ac:dyDescent="0.3">
      <c r="D156" t="str">
        <f t="shared" si="11"/>
        <v/>
      </c>
      <c r="E156" s="26" t="str">
        <f t="shared" si="10"/>
        <v/>
      </c>
    </row>
    <row r="157" spans="4:5" x14ac:dyDescent="0.3">
      <c r="D157" t="str">
        <f t="shared" si="11"/>
        <v/>
      </c>
      <c r="E157" s="26" t="str">
        <f t="shared" si="10"/>
        <v/>
      </c>
    </row>
    <row r="158" spans="4:5" x14ac:dyDescent="0.3">
      <c r="D158" t="str">
        <f t="shared" si="11"/>
        <v/>
      </c>
      <c r="E158" s="26" t="str">
        <f t="shared" si="10"/>
        <v/>
      </c>
    </row>
    <row r="159" spans="4:5" x14ac:dyDescent="0.3">
      <c r="D159" t="str">
        <f t="shared" si="11"/>
        <v/>
      </c>
      <c r="E159" s="26" t="str">
        <f t="shared" si="10"/>
        <v/>
      </c>
    </row>
    <row r="160" spans="4:5" x14ac:dyDescent="0.3">
      <c r="D160" t="str">
        <f t="shared" si="11"/>
        <v/>
      </c>
      <c r="E160" s="26" t="str">
        <f t="shared" si="10"/>
        <v/>
      </c>
    </row>
    <row r="161" spans="4:5" x14ac:dyDescent="0.3">
      <c r="D161" t="str">
        <f t="shared" si="11"/>
        <v/>
      </c>
      <c r="E161" s="26" t="str">
        <f t="shared" si="10"/>
        <v/>
      </c>
    </row>
    <row r="162" spans="4:5" x14ac:dyDescent="0.3">
      <c r="D162" t="str">
        <f t="shared" si="11"/>
        <v/>
      </c>
      <c r="E162" s="26" t="str">
        <f t="shared" si="10"/>
        <v/>
      </c>
    </row>
    <row r="163" spans="4:5" x14ac:dyDescent="0.3">
      <c r="D163" t="str">
        <f t="shared" si="11"/>
        <v/>
      </c>
      <c r="E163" s="26" t="str">
        <f t="shared" si="10"/>
        <v/>
      </c>
    </row>
    <row r="164" spans="4:5" x14ac:dyDescent="0.3">
      <c r="D164" t="str">
        <f t="shared" si="11"/>
        <v/>
      </c>
      <c r="E164" s="26" t="str">
        <f t="shared" si="10"/>
        <v/>
      </c>
    </row>
    <row r="165" spans="4:5" x14ac:dyDescent="0.3">
      <c r="D165" t="str">
        <f t="shared" si="11"/>
        <v/>
      </c>
      <c r="E165" s="26" t="str">
        <f t="shared" si="10"/>
        <v/>
      </c>
    </row>
    <row r="166" spans="4:5" x14ac:dyDescent="0.3">
      <c r="D166" t="str">
        <f t="shared" si="11"/>
        <v/>
      </c>
      <c r="E166" s="26" t="str">
        <f t="shared" si="10"/>
        <v/>
      </c>
    </row>
    <row r="167" spans="4:5" x14ac:dyDescent="0.3">
      <c r="D167" t="str">
        <f t="shared" si="11"/>
        <v/>
      </c>
      <c r="E167" s="26" t="str">
        <f t="shared" si="10"/>
        <v/>
      </c>
    </row>
    <row r="168" spans="4:5" x14ac:dyDescent="0.3">
      <c r="D168" t="str">
        <f t="shared" si="11"/>
        <v/>
      </c>
      <c r="E168" s="26" t="str">
        <f t="shared" si="10"/>
        <v/>
      </c>
    </row>
    <row r="169" spans="4:5" x14ac:dyDescent="0.3">
      <c r="D169" t="str">
        <f t="shared" si="11"/>
        <v/>
      </c>
      <c r="E169" s="26" t="str">
        <f t="shared" si="10"/>
        <v/>
      </c>
    </row>
    <row r="170" spans="4:5" x14ac:dyDescent="0.3">
      <c r="D170" t="str">
        <f t="shared" si="11"/>
        <v/>
      </c>
      <c r="E170" s="26" t="str">
        <f t="shared" si="10"/>
        <v/>
      </c>
    </row>
    <row r="171" spans="4:5" x14ac:dyDescent="0.3">
      <c r="D171" t="str">
        <f t="shared" si="11"/>
        <v/>
      </c>
      <c r="E171" s="26" t="str">
        <f t="shared" si="10"/>
        <v/>
      </c>
    </row>
    <row r="172" spans="4:5" x14ac:dyDescent="0.3">
      <c r="D172" t="str">
        <f t="shared" si="11"/>
        <v/>
      </c>
      <c r="E172" s="26" t="str">
        <f t="shared" si="10"/>
        <v/>
      </c>
    </row>
    <row r="173" spans="4:5" x14ac:dyDescent="0.3">
      <c r="D173" t="str">
        <f t="shared" si="11"/>
        <v/>
      </c>
      <c r="E173" s="26" t="str">
        <f t="shared" si="10"/>
        <v/>
      </c>
    </row>
    <row r="174" spans="4:5" x14ac:dyDescent="0.3">
      <c r="D174" t="str">
        <f t="shared" si="11"/>
        <v/>
      </c>
      <c r="E174" s="26" t="str">
        <f t="shared" si="10"/>
        <v/>
      </c>
    </row>
    <row r="175" spans="4:5" x14ac:dyDescent="0.3">
      <c r="D175" t="str">
        <f t="shared" si="11"/>
        <v/>
      </c>
      <c r="E175" s="26" t="str">
        <f t="shared" si="10"/>
        <v/>
      </c>
    </row>
    <row r="176" spans="4:5" x14ac:dyDescent="0.3">
      <c r="D176" t="str">
        <f t="shared" si="11"/>
        <v/>
      </c>
      <c r="E176" s="26" t="str">
        <f t="shared" si="10"/>
        <v/>
      </c>
    </row>
    <row r="177" spans="4:5" x14ac:dyDescent="0.3">
      <c r="D177" t="str">
        <f t="shared" si="11"/>
        <v/>
      </c>
      <c r="E177" s="26" t="str">
        <f t="shared" si="10"/>
        <v/>
      </c>
    </row>
    <row r="178" spans="4:5" x14ac:dyDescent="0.3">
      <c r="D178" t="str">
        <f t="shared" si="11"/>
        <v/>
      </c>
      <c r="E178" s="26" t="str">
        <f t="shared" si="10"/>
        <v/>
      </c>
    </row>
    <row r="179" spans="4:5" x14ac:dyDescent="0.3">
      <c r="D179" t="str">
        <f t="shared" si="11"/>
        <v/>
      </c>
      <c r="E179" s="26" t="str">
        <f t="shared" si="10"/>
        <v/>
      </c>
    </row>
    <row r="180" spans="4:5" x14ac:dyDescent="0.3">
      <c r="D180" t="str">
        <f t="shared" si="11"/>
        <v/>
      </c>
      <c r="E180" s="26" t="str">
        <f t="shared" si="10"/>
        <v/>
      </c>
    </row>
    <row r="181" spans="4:5" x14ac:dyDescent="0.3">
      <c r="D181" t="str">
        <f t="shared" si="11"/>
        <v/>
      </c>
      <c r="E181" s="26" t="str">
        <f t="shared" si="10"/>
        <v/>
      </c>
    </row>
    <row r="182" spans="4:5" x14ac:dyDescent="0.3">
      <c r="D182" t="str">
        <f t="shared" si="11"/>
        <v/>
      </c>
      <c r="E182" s="26" t="str">
        <f t="shared" si="10"/>
        <v/>
      </c>
    </row>
    <row r="183" spans="4:5" x14ac:dyDescent="0.3">
      <c r="D183" t="str">
        <f t="shared" si="11"/>
        <v/>
      </c>
      <c r="E183" s="26" t="str">
        <f t="shared" si="10"/>
        <v/>
      </c>
    </row>
    <row r="184" spans="4:5" x14ac:dyDescent="0.3">
      <c r="D184" t="str">
        <f t="shared" si="11"/>
        <v/>
      </c>
      <c r="E184" s="26" t="str">
        <f t="shared" si="10"/>
        <v/>
      </c>
    </row>
    <row r="185" spans="4:5" x14ac:dyDescent="0.3">
      <c r="D185" t="str">
        <f t="shared" si="11"/>
        <v/>
      </c>
      <c r="E185" s="26" t="str">
        <f t="shared" si="10"/>
        <v/>
      </c>
    </row>
    <row r="186" spans="4:5" x14ac:dyDescent="0.3">
      <c r="D186" t="str">
        <f t="shared" si="11"/>
        <v/>
      </c>
      <c r="E186" s="26" t="str">
        <f t="shared" si="10"/>
        <v/>
      </c>
    </row>
    <row r="187" spans="4:5" x14ac:dyDescent="0.3">
      <c r="D187" t="str">
        <f t="shared" si="11"/>
        <v/>
      </c>
      <c r="E187" s="26" t="str">
        <f t="shared" si="10"/>
        <v/>
      </c>
    </row>
    <row r="188" spans="4:5" x14ac:dyDescent="0.3">
      <c r="D188" t="str">
        <f t="shared" si="11"/>
        <v/>
      </c>
      <c r="E188" s="26" t="str">
        <f t="shared" si="10"/>
        <v/>
      </c>
    </row>
    <row r="189" spans="4:5" x14ac:dyDescent="0.3">
      <c r="D189" t="str">
        <f t="shared" si="11"/>
        <v/>
      </c>
      <c r="E189" s="26" t="str">
        <f t="shared" si="10"/>
        <v/>
      </c>
    </row>
    <row r="190" spans="4:5" x14ac:dyDescent="0.3">
      <c r="D190" t="str">
        <f t="shared" ref="D190:D230" si="12">IF(D189&lt;&gt;"",IF(ROUNDUP($B$29,0)&gt;=D189+1,D189+1,""), "")</f>
        <v/>
      </c>
      <c r="E190" s="26" t="str">
        <f t="shared" si="10"/>
        <v/>
      </c>
    </row>
    <row r="191" spans="4:5" x14ac:dyDescent="0.3">
      <c r="D191" t="str">
        <f t="shared" si="12"/>
        <v/>
      </c>
      <c r="E191" s="26" t="str">
        <f t="shared" si="10"/>
        <v/>
      </c>
    </row>
    <row r="192" spans="4:5" x14ac:dyDescent="0.3">
      <c r="D192" t="str">
        <f t="shared" si="12"/>
        <v/>
      </c>
      <c r="E192" s="26" t="str">
        <f t="shared" si="10"/>
        <v/>
      </c>
    </row>
    <row r="193" spans="4:5" x14ac:dyDescent="0.3">
      <c r="D193" t="str">
        <f t="shared" si="12"/>
        <v/>
      </c>
      <c r="E193" s="26" t="str">
        <f t="shared" si="10"/>
        <v/>
      </c>
    </row>
    <row r="194" spans="4:5" x14ac:dyDescent="0.3">
      <c r="D194" t="str">
        <f t="shared" si="12"/>
        <v/>
      </c>
      <c r="E194" s="26" t="str">
        <f t="shared" si="10"/>
        <v/>
      </c>
    </row>
    <row r="195" spans="4:5" x14ac:dyDescent="0.3">
      <c r="D195" t="str">
        <f t="shared" si="12"/>
        <v/>
      </c>
      <c r="E195" s="26" t="str">
        <f t="shared" si="10"/>
        <v/>
      </c>
    </row>
    <row r="196" spans="4:5" x14ac:dyDescent="0.3">
      <c r="D196" t="str">
        <f t="shared" si="12"/>
        <v/>
      </c>
      <c r="E196" s="26" t="str">
        <f t="shared" si="10"/>
        <v/>
      </c>
    </row>
    <row r="197" spans="4:5" x14ac:dyDescent="0.3">
      <c r="D197" t="str">
        <f t="shared" si="12"/>
        <v/>
      </c>
      <c r="E197" s="26" t="str">
        <f t="shared" si="10"/>
        <v/>
      </c>
    </row>
    <row r="198" spans="4:5" x14ac:dyDescent="0.3">
      <c r="D198" t="str">
        <f t="shared" si="12"/>
        <v/>
      </c>
      <c r="E198" s="26" t="str">
        <f t="shared" si="10"/>
        <v/>
      </c>
    </row>
    <row r="199" spans="4:5" x14ac:dyDescent="0.3">
      <c r="D199" t="str">
        <f t="shared" si="12"/>
        <v/>
      </c>
      <c r="E199" s="26" t="str">
        <f t="shared" si="10"/>
        <v/>
      </c>
    </row>
    <row r="200" spans="4:5" x14ac:dyDescent="0.3">
      <c r="D200" t="str">
        <f t="shared" si="12"/>
        <v/>
      </c>
      <c r="E200" s="26" t="str">
        <f t="shared" si="10"/>
        <v/>
      </c>
    </row>
    <row r="201" spans="4:5" x14ac:dyDescent="0.3">
      <c r="D201" t="str">
        <f t="shared" si="12"/>
        <v/>
      </c>
      <c r="E201" s="26" t="str">
        <f t="shared" si="10"/>
        <v/>
      </c>
    </row>
    <row r="202" spans="4:5" x14ac:dyDescent="0.3">
      <c r="D202" t="str">
        <f t="shared" si="12"/>
        <v/>
      </c>
      <c r="E202" s="26" t="str">
        <f t="shared" si="10"/>
        <v/>
      </c>
    </row>
    <row r="203" spans="4:5" x14ac:dyDescent="0.3">
      <c r="D203" t="str">
        <f t="shared" si="12"/>
        <v/>
      </c>
      <c r="E203" s="26" t="str">
        <f t="shared" si="10"/>
        <v/>
      </c>
    </row>
    <row r="204" spans="4:5" x14ac:dyDescent="0.3">
      <c r="D204" t="str">
        <f t="shared" si="12"/>
        <v/>
      </c>
      <c r="E204" s="26" t="str">
        <f t="shared" si="10"/>
        <v/>
      </c>
    </row>
    <row r="205" spans="4:5" x14ac:dyDescent="0.3">
      <c r="D205" t="str">
        <f t="shared" si="12"/>
        <v/>
      </c>
      <c r="E205" s="26" t="str">
        <f t="shared" si="10"/>
        <v/>
      </c>
    </row>
    <row r="206" spans="4:5" x14ac:dyDescent="0.3">
      <c r="D206" t="str">
        <f t="shared" si="12"/>
        <v/>
      </c>
      <c r="E206" s="26" t="str">
        <f t="shared" si="10"/>
        <v/>
      </c>
    </row>
    <row r="207" spans="4:5" x14ac:dyDescent="0.3">
      <c r="D207" t="str">
        <f t="shared" si="12"/>
        <v/>
      </c>
      <c r="E207" s="26" t="str">
        <f t="shared" si="10"/>
        <v/>
      </c>
    </row>
    <row r="208" spans="4:5" x14ac:dyDescent="0.3">
      <c r="D208" t="str">
        <f t="shared" si="12"/>
        <v/>
      </c>
      <c r="E208" s="26" t="str">
        <f t="shared" si="10"/>
        <v/>
      </c>
    </row>
    <row r="209" spans="4:5" x14ac:dyDescent="0.3">
      <c r="D209" t="str">
        <f t="shared" si="12"/>
        <v/>
      </c>
      <c r="E209" s="26" t="str">
        <f t="shared" si="10"/>
        <v/>
      </c>
    </row>
    <row r="210" spans="4:5" x14ac:dyDescent="0.3">
      <c r="D210" t="str">
        <f t="shared" si="12"/>
        <v/>
      </c>
      <c r="E210" s="26" t="str">
        <f t="shared" si="10"/>
        <v/>
      </c>
    </row>
    <row r="211" spans="4:5" x14ac:dyDescent="0.3">
      <c r="D211" t="str">
        <f t="shared" si="12"/>
        <v/>
      </c>
      <c r="E211" s="26" t="str">
        <f t="shared" si="10"/>
        <v/>
      </c>
    </row>
    <row r="212" spans="4:5" x14ac:dyDescent="0.3">
      <c r="D212" t="str">
        <f t="shared" si="12"/>
        <v/>
      </c>
      <c r="E212" s="26" t="str">
        <f t="shared" si="10"/>
        <v/>
      </c>
    </row>
    <row r="213" spans="4:5" x14ac:dyDescent="0.3">
      <c r="D213" t="str">
        <f t="shared" si="12"/>
        <v/>
      </c>
      <c r="E213" s="26" t="str">
        <f t="shared" ref="E213:E258" si="13">IF(D213&lt;&gt;"", ($B$9*$B$19*$B$8*($B$2-$B$21*(D213-1))+$B$10*$B$16)*$B$3/($B$20*10^6*IF(D213=1, $B$14, $B$15)),  "")</f>
        <v/>
      </c>
    </row>
    <row r="214" spans="4:5" x14ac:dyDescent="0.3">
      <c r="D214" t="str">
        <f t="shared" si="12"/>
        <v/>
      </c>
      <c r="E214" s="26" t="str">
        <f t="shared" si="13"/>
        <v/>
      </c>
    </row>
    <row r="215" spans="4:5" x14ac:dyDescent="0.3">
      <c r="D215" t="str">
        <f t="shared" si="12"/>
        <v/>
      </c>
      <c r="E215" s="26" t="str">
        <f t="shared" si="13"/>
        <v/>
      </c>
    </row>
    <row r="216" spans="4:5" x14ac:dyDescent="0.3">
      <c r="D216" t="str">
        <f t="shared" si="12"/>
        <v/>
      </c>
      <c r="E216" s="26" t="str">
        <f t="shared" si="13"/>
        <v/>
      </c>
    </row>
    <row r="217" spans="4:5" x14ac:dyDescent="0.3">
      <c r="D217" t="str">
        <f t="shared" si="12"/>
        <v/>
      </c>
      <c r="E217" s="26" t="str">
        <f t="shared" si="13"/>
        <v/>
      </c>
    </row>
    <row r="218" spans="4:5" x14ac:dyDescent="0.3">
      <c r="D218" t="str">
        <f t="shared" si="12"/>
        <v/>
      </c>
      <c r="E218" s="26" t="str">
        <f t="shared" si="13"/>
        <v/>
      </c>
    </row>
    <row r="219" spans="4:5" x14ac:dyDescent="0.3">
      <c r="D219" t="str">
        <f t="shared" si="12"/>
        <v/>
      </c>
      <c r="E219" s="26" t="str">
        <f t="shared" si="13"/>
        <v/>
      </c>
    </row>
    <row r="220" spans="4:5" x14ac:dyDescent="0.3">
      <c r="D220" t="str">
        <f t="shared" si="12"/>
        <v/>
      </c>
      <c r="E220" s="26" t="str">
        <f t="shared" si="13"/>
        <v/>
      </c>
    </row>
    <row r="221" spans="4:5" x14ac:dyDescent="0.3">
      <c r="D221" t="str">
        <f t="shared" si="12"/>
        <v/>
      </c>
      <c r="E221" s="26" t="str">
        <f t="shared" si="13"/>
        <v/>
      </c>
    </row>
    <row r="222" spans="4:5" x14ac:dyDescent="0.3">
      <c r="D222" t="str">
        <f t="shared" si="12"/>
        <v/>
      </c>
      <c r="E222" s="26" t="str">
        <f t="shared" si="13"/>
        <v/>
      </c>
    </row>
    <row r="223" spans="4:5" x14ac:dyDescent="0.3">
      <c r="D223" t="str">
        <f t="shared" si="12"/>
        <v/>
      </c>
      <c r="E223" s="26" t="str">
        <f t="shared" si="13"/>
        <v/>
      </c>
    </row>
    <row r="224" spans="4:5" x14ac:dyDescent="0.3">
      <c r="D224" t="str">
        <f t="shared" si="12"/>
        <v/>
      </c>
      <c r="E224" s="26" t="str">
        <f t="shared" si="13"/>
        <v/>
      </c>
    </row>
    <row r="225" spans="4:5" x14ac:dyDescent="0.3">
      <c r="D225" t="str">
        <f t="shared" si="12"/>
        <v/>
      </c>
      <c r="E225" s="26" t="str">
        <f t="shared" si="13"/>
        <v/>
      </c>
    </row>
    <row r="226" spans="4:5" x14ac:dyDescent="0.3">
      <c r="D226" t="str">
        <f t="shared" si="12"/>
        <v/>
      </c>
      <c r="E226" s="26" t="str">
        <f t="shared" si="13"/>
        <v/>
      </c>
    </row>
    <row r="227" spans="4:5" x14ac:dyDescent="0.3">
      <c r="D227" t="str">
        <f t="shared" si="12"/>
        <v/>
      </c>
      <c r="E227" s="26" t="str">
        <f t="shared" si="13"/>
        <v/>
      </c>
    </row>
    <row r="228" spans="4:5" x14ac:dyDescent="0.3">
      <c r="D228" t="str">
        <f t="shared" si="12"/>
        <v/>
      </c>
      <c r="E228" s="26" t="str">
        <f t="shared" si="13"/>
        <v/>
      </c>
    </row>
    <row r="229" spans="4:5" x14ac:dyDescent="0.3">
      <c r="D229" t="str">
        <f t="shared" si="12"/>
        <v/>
      </c>
      <c r="E229" s="26" t="str">
        <f t="shared" si="13"/>
        <v/>
      </c>
    </row>
    <row r="230" spans="4:5" x14ac:dyDescent="0.3">
      <c r="D230" t="str">
        <f t="shared" si="12"/>
        <v/>
      </c>
      <c r="E230" s="26" t="str">
        <f t="shared" si="13"/>
        <v/>
      </c>
    </row>
    <row r="231" spans="4:5" x14ac:dyDescent="0.3">
      <c r="D231" t="str">
        <f t="shared" ref="D231:D294" si="14">IF(D230&lt;&gt;"",IF($B$29&gt;=D230+1,D230+1,""), "")</f>
        <v/>
      </c>
      <c r="E231" s="26" t="str">
        <f t="shared" si="13"/>
        <v/>
      </c>
    </row>
    <row r="232" spans="4:5" x14ac:dyDescent="0.3">
      <c r="D232" t="str">
        <f t="shared" si="14"/>
        <v/>
      </c>
      <c r="E232" s="26" t="str">
        <f t="shared" si="13"/>
        <v/>
      </c>
    </row>
    <row r="233" spans="4:5" x14ac:dyDescent="0.3">
      <c r="D233" t="str">
        <f t="shared" si="14"/>
        <v/>
      </c>
      <c r="E233" s="26" t="str">
        <f t="shared" si="13"/>
        <v/>
      </c>
    </row>
    <row r="234" spans="4:5" x14ac:dyDescent="0.3">
      <c r="D234" t="str">
        <f t="shared" si="14"/>
        <v/>
      </c>
      <c r="E234" s="26" t="str">
        <f t="shared" si="13"/>
        <v/>
      </c>
    </row>
    <row r="235" spans="4:5" x14ac:dyDescent="0.3">
      <c r="D235" t="str">
        <f t="shared" si="14"/>
        <v/>
      </c>
      <c r="E235" s="26" t="str">
        <f t="shared" si="13"/>
        <v/>
      </c>
    </row>
    <row r="236" spans="4:5" x14ac:dyDescent="0.3">
      <c r="D236" t="str">
        <f t="shared" si="14"/>
        <v/>
      </c>
      <c r="E236" s="26" t="str">
        <f t="shared" si="13"/>
        <v/>
      </c>
    </row>
    <row r="237" spans="4:5" x14ac:dyDescent="0.3">
      <c r="D237" t="str">
        <f t="shared" si="14"/>
        <v/>
      </c>
      <c r="E237" s="26" t="str">
        <f t="shared" si="13"/>
        <v/>
      </c>
    </row>
    <row r="238" spans="4:5" x14ac:dyDescent="0.3">
      <c r="D238" t="str">
        <f t="shared" si="14"/>
        <v/>
      </c>
      <c r="E238" s="26" t="str">
        <f t="shared" si="13"/>
        <v/>
      </c>
    </row>
    <row r="239" spans="4:5" x14ac:dyDescent="0.3">
      <c r="D239" t="str">
        <f t="shared" si="14"/>
        <v/>
      </c>
      <c r="E239" s="26" t="str">
        <f t="shared" si="13"/>
        <v/>
      </c>
    </row>
    <row r="240" spans="4:5" x14ac:dyDescent="0.3">
      <c r="D240" t="str">
        <f t="shared" si="14"/>
        <v/>
      </c>
      <c r="E240" s="26" t="str">
        <f t="shared" si="13"/>
        <v/>
      </c>
    </row>
    <row r="241" spans="4:5" x14ac:dyDescent="0.3">
      <c r="D241" t="str">
        <f t="shared" si="14"/>
        <v/>
      </c>
      <c r="E241" s="26" t="str">
        <f t="shared" si="13"/>
        <v/>
      </c>
    </row>
    <row r="242" spans="4:5" x14ac:dyDescent="0.3">
      <c r="D242" t="str">
        <f t="shared" si="14"/>
        <v/>
      </c>
      <c r="E242" s="26" t="str">
        <f t="shared" si="13"/>
        <v/>
      </c>
    </row>
    <row r="243" spans="4:5" x14ac:dyDescent="0.3">
      <c r="D243" t="str">
        <f t="shared" si="14"/>
        <v/>
      </c>
      <c r="E243" s="26" t="str">
        <f t="shared" si="13"/>
        <v/>
      </c>
    </row>
    <row r="244" spans="4:5" x14ac:dyDescent="0.3">
      <c r="D244" t="str">
        <f t="shared" si="14"/>
        <v/>
      </c>
      <c r="E244" s="26" t="str">
        <f t="shared" si="13"/>
        <v/>
      </c>
    </row>
    <row r="245" spans="4:5" x14ac:dyDescent="0.3">
      <c r="D245" t="str">
        <f t="shared" si="14"/>
        <v/>
      </c>
      <c r="E245" s="26" t="str">
        <f t="shared" si="13"/>
        <v/>
      </c>
    </row>
    <row r="246" spans="4:5" x14ac:dyDescent="0.3">
      <c r="D246" t="str">
        <f t="shared" si="14"/>
        <v/>
      </c>
      <c r="E246" s="26" t="str">
        <f t="shared" si="13"/>
        <v/>
      </c>
    </row>
    <row r="247" spans="4:5" x14ac:dyDescent="0.3">
      <c r="D247" t="str">
        <f t="shared" si="14"/>
        <v/>
      </c>
      <c r="E247" s="26" t="str">
        <f t="shared" si="13"/>
        <v/>
      </c>
    </row>
    <row r="248" spans="4:5" x14ac:dyDescent="0.3">
      <c r="D248" t="str">
        <f t="shared" si="14"/>
        <v/>
      </c>
      <c r="E248" s="26" t="str">
        <f t="shared" si="13"/>
        <v/>
      </c>
    </row>
    <row r="249" spans="4:5" x14ac:dyDescent="0.3">
      <c r="D249" t="str">
        <f t="shared" si="14"/>
        <v/>
      </c>
      <c r="E249" s="26" t="str">
        <f t="shared" si="13"/>
        <v/>
      </c>
    </row>
    <row r="250" spans="4:5" x14ac:dyDescent="0.3">
      <c r="D250" t="str">
        <f t="shared" si="14"/>
        <v/>
      </c>
      <c r="E250" s="26" t="str">
        <f t="shared" si="13"/>
        <v/>
      </c>
    </row>
    <row r="251" spans="4:5" x14ac:dyDescent="0.3">
      <c r="D251" t="str">
        <f t="shared" si="14"/>
        <v/>
      </c>
      <c r="E251" s="26" t="str">
        <f t="shared" si="13"/>
        <v/>
      </c>
    </row>
    <row r="252" spans="4:5" x14ac:dyDescent="0.3">
      <c r="D252" t="str">
        <f t="shared" si="14"/>
        <v/>
      </c>
      <c r="E252" s="26" t="str">
        <f t="shared" si="13"/>
        <v/>
      </c>
    </row>
    <row r="253" spans="4:5" x14ac:dyDescent="0.3">
      <c r="D253" t="str">
        <f t="shared" si="14"/>
        <v/>
      </c>
      <c r="E253" s="26" t="str">
        <f t="shared" si="13"/>
        <v/>
      </c>
    </row>
    <row r="254" spans="4:5" x14ac:dyDescent="0.3">
      <c r="D254" t="str">
        <f t="shared" si="14"/>
        <v/>
      </c>
      <c r="E254" s="26" t="str">
        <f t="shared" si="13"/>
        <v/>
      </c>
    </row>
    <row r="255" spans="4:5" x14ac:dyDescent="0.3">
      <c r="D255" t="str">
        <f t="shared" si="14"/>
        <v/>
      </c>
      <c r="E255" s="26" t="str">
        <f t="shared" si="13"/>
        <v/>
      </c>
    </row>
    <row r="256" spans="4:5" x14ac:dyDescent="0.3">
      <c r="D256" t="str">
        <f t="shared" si="14"/>
        <v/>
      </c>
      <c r="E256" s="26" t="str">
        <f t="shared" si="13"/>
        <v/>
      </c>
    </row>
    <row r="257" spans="4:5" x14ac:dyDescent="0.3">
      <c r="D257" t="str">
        <f t="shared" si="14"/>
        <v/>
      </c>
      <c r="E257" s="26" t="str">
        <f t="shared" si="13"/>
        <v/>
      </c>
    </row>
    <row r="258" spans="4:5" x14ac:dyDescent="0.3">
      <c r="D258" t="str">
        <f t="shared" si="14"/>
        <v/>
      </c>
      <c r="E258" s="26" t="str">
        <f t="shared" si="13"/>
        <v/>
      </c>
    </row>
    <row r="259" spans="4:5" x14ac:dyDescent="0.3">
      <c r="D259" t="str">
        <f t="shared" si="14"/>
        <v/>
      </c>
    </row>
    <row r="260" spans="4:5" x14ac:dyDescent="0.3">
      <c r="D260" t="str">
        <f t="shared" si="14"/>
        <v/>
      </c>
    </row>
    <row r="261" spans="4:5" x14ac:dyDescent="0.3">
      <c r="D261" t="str">
        <f t="shared" si="14"/>
        <v/>
      </c>
    </row>
    <row r="262" spans="4:5" x14ac:dyDescent="0.3">
      <c r="D262" t="str">
        <f t="shared" si="14"/>
        <v/>
      </c>
    </row>
    <row r="263" spans="4:5" x14ac:dyDescent="0.3">
      <c r="D263" t="str">
        <f t="shared" si="14"/>
        <v/>
      </c>
    </row>
    <row r="264" spans="4:5" x14ac:dyDescent="0.3">
      <c r="D264" t="str">
        <f t="shared" si="14"/>
        <v/>
      </c>
    </row>
    <row r="265" spans="4:5" x14ac:dyDescent="0.3">
      <c r="D265" t="str">
        <f t="shared" si="14"/>
        <v/>
      </c>
    </row>
    <row r="266" spans="4:5" x14ac:dyDescent="0.3">
      <c r="D266" t="str">
        <f t="shared" si="14"/>
        <v/>
      </c>
    </row>
    <row r="267" spans="4:5" x14ac:dyDescent="0.3">
      <c r="D267" t="str">
        <f t="shared" si="14"/>
        <v/>
      </c>
    </row>
    <row r="268" spans="4:5" x14ac:dyDescent="0.3">
      <c r="D268" t="str">
        <f t="shared" si="14"/>
        <v/>
      </c>
    </row>
    <row r="269" spans="4:5" x14ac:dyDescent="0.3">
      <c r="D269" t="str">
        <f t="shared" si="14"/>
        <v/>
      </c>
    </row>
    <row r="270" spans="4:5" x14ac:dyDescent="0.3">
      <c r="D270" t="str">
        <f t="shared" si="14"/>
        <v/>
      </c>
    </row>
    <row r="271" spans="4:5" x14ac:dyDescent="0.3">
      <c r="D271" t="str">
        <f t="shared" si="14"/>
        <v/>
      </c>
    </row>
    <row r="272" spans="4:5" x14ac:dyDescent="0.3">
      <c r="D272" t="str">
        <f t="shared" si="14"/>
        <v/>
      </c>
    </row>
    <row r="273" spans="4:4" x14ac:dyDescent="0.3">
      <c r="D273" t="str">
        <f t="shared" si="14"/>
        <v/>
      </c>
    </row>
    <row r="274" spans="4:4" x14ac:dyDescent="0.3">
      <c r="D274" t="str">
        <f t="shared" si="14"/>
        <v/>
      </c>
    </row>
    <row r="275" spans="4:4" x14ac:dyDescent="0.3">
      <c r="D275" t="str">
        <f t="shared" si="14"/>
        <v/>
      </c>
    </row>
    <row r="276" spans="4:4" x14ac:dyDescent="0.3">
      <c r="D276" t="str">
        <f t="shared" si="14"/>
        <v/>
      </c>
    </row>
    <row r="277" spans="4:4" x14ac:dyDescent="0.3">
      <c r="D277" t="str">
        <f t="shared" si="14"/>
        <v/>
      </c>
    </row>
    <row r="278" spans="4:4" x14ac:dyDescent="0.3">
      <c r="D278" t="str">
        <f t="shared" si="14"/>
        <v/>
      </c>
    </row>
    <row r="279" spans="4:4" x14ac:dyDescent="0.3">
      <c r="D279" t="str">
        <f t="shared" si="14"/>
        <v/>
      </c>
    </row>
    <row r="280" spans="4:4" x14ac:dyDescent="0.3">
      <c r="D280" t="str">
        <f t="shared" si="14"/>
        <v/>
      </c>
    </row>
    <row r="281" spans="4:4" x14ac:dyDescent="0.3">
      <c r="D281" t="str">
        <f t="shared" si="14"/>
        <v/>
      </c>
    </row>
    <row r="282" spans="4:4" x14ac:dyDescent="0.3">
      <c r="D282" t="str">
        <f t="shared" si="14"/>
        <v/>
      </c>
    </row>
    <row r="283" spans="4:4" x14ac:dyDescent="0.3">
      <c r="D283" t="str">
        <f t="shared" si="14"/>
        <v/>
      </c>
    </row>
    <row r="284" spans="4:4" x14ac:dyDescent="0.3">
      <c r="D284" t="str">
        <f t="shared" si="14"/>
        <v/>
      </c>
    </row>
    <row r="285" spans="4:4" x14ac:dyDescent="0.3">
      <c r="D285" t="str">
        <f t="shared" si="14"/>
        <v/>
      </c>
    </row>
    <row r="286" spans="4:4" x14ac:dyDescent="0.3">
      <c r="D286" t="str">
        <f t="shared" si="14"/>
        <v/>
      </c>
    </row>
    <row r="287" spans="4:4" x14ac:dyDescent="0.3">
      <c r="D287" t="str">
        <f t="shared" si="14"/>
        <v/>
      </c>
    </row>
    <row r="288" spans="4:4" x14ac:dyDescent="0.3">
      <c r="D288" t="str">
        <f t="shared" si="14"/>
        <v/>
      </c>
    </row>
    <row r="289" spans="4:4" x14ac:dyDescent="0.3">
      <c r="D289" t="str">
        <f t="shared" si="14"/>
        <v/>
      </c>
    </row>
    <row r="290" spans="4:4" x14ac:dyDescent="0.3">
      <c r="D290" t="str">
        <f t="shared" si="14"/>
        <v/>
      </c>
    </row>
    <row r="291" spans="4:4" x14ac:dyDescent="0.3">
      <c r="D291" t="str">
        <f t="shared" si="14"/>
        <v/>
      </c>
    </row>
    <row r="292" spans="4:4" x14ac:dyDescent="0.3">
      <c r="D292" t="str">
        <f t="shared" si="14"/>
        <v/>
      </c>
    </row>
    <row r="293" spans="4:4" x14ac:dyDescent="0.3">
      <c r="D293" t="str">
        <f t="shared" si="14"/>
        <v/>
      </c>
    </row>
    <row r="294" spans="4:4" x14ac:dyDescent="0.3">
      <c r="D294" t="str">
        <f t="shared" si="14"/>
        <v/>
      </c>
    </row>
    <row r="295" spans="4:4" x14ac:dyDescent="0.3">
      <c r="D295" t="str">
        <f t="shared" ref="D295:D358" si="15">IF(D294&lt;&gt;"",IF($B$29&gt;=D294+1,D294+1,""), "")</f>
        <v/>
      </c>
    </row>
    <row r="296" spans="4:4" x14ac:dyDescent="0.3">
      <c r="D296" t="str">
        <f t="shared" si="15"/>
        <v/>
      </c>
    </row>
    <row r="297" spans="4:4" x14ac:dyDescent="0.3">
      <c r="D297" t="str">
        <f t="shared" si="15"/>
        <v/>
      </c>
    </row>
    <row r="298" spans="4:4" x14ac:dyDescent="0.3">
      <c r="D298" t="str">
        <f t="shared" si="15"/>
        <v/>
      </c>
    </row>
    <row r="299" spans="4:4" x14ac:dyDescent="0.3">
      <c r="D299" t="str">
        <f t="shared" si="15"/>
        <v/>
      </c>
    </row>
    <row r="300" spans="4:4" x14ac:dyDescent="0.3">
      <c r="D300" t="str">
        <f t="shared" si="15"/>
        <v/>
      </c>
    </row>
    <row r="301" spans="4:4" x14ac:dyDescent="0.3">
      <c r="D301" t="str">
        <f t="shared" si="15"/>
        <v/>
      </c>
    </row>
    <row r="302" spans="4:4" x14ac:dyDescent="0.3">
      <c r="D302" t="str">
        <f t="shared" si="15"/>
        <v/>
      </c>
    </row>
    <row r="303" spans="4:4" x14ac:dyDescent="0.3">
      <c r="D303" t="str">
        <f t="shared" si="15"/>
        <v/>
      </c>
    </row>
    <row r="304" spans="4:4" x14ac:dyDescent="0.3">
      <c r="D304" t="str">
        <f t="shared" si="15"/>
        <v/>
      </c>
    </row>
    <row r="305" spans="4:4" x14ac:dyDescent="0.3">
      <c r="D305" t="str">
        <f t="shared" si="15"/>
        <v/>
      </c>
    </row>
    <row r="306" spans="4:4" x14ac:dyDescent="0.3">
      <c r="D306" t="str">
        <f t="shared" si="15"/>
        <v/>
      </c>
    </row>
    <row r="307" spans="4:4" x14ac:dyDescent="0.3">
      <c r="D307" t="str">
        <f t="shared" si="15"/>
        <v/>
      </c>
    </row>
    <row r="308" spans="4:4" x14ac:dyDescent="0.3">
      <c r="D308" t="str">
        <f t="shared" si="15"/>
        <v/>
      </c>
    </row>
    <row r="309" spans="4:4" x14ac:dyDescent="0.3">
      <c r="D309" t="str">
        <f t="shared" si="15"/>
        <v/>
      </c>
    </row>
    <row r="310" spans="4:4" x14ac:dyDescent="0.3">
      <c r="D310" t="str">
        <f t="shared" si="15"/>
        <v/>
      </c>
    </row>
    <row r="311" spans="4:4" x14ac:dyDescent="0.3">
      <c r="D311" t="str">
        <f t="shared" si="15"/>
        <v/>
      </c>
    </row>
    <row r="312" spans="4:4" x14ac:dyDescent="0.3">
      <c r="D312" t="str">
        <f t="shared" si="15"/>
        <v/>
      </c>
    </row>
    <row r="313" spans="4:4" x14ac:dyDescent="0.3">
      <c r="D313" t="str">
        <f t="shared" si="15"/>
        <v/>
      </c>
    </row>
    <row r="314" spans="4:4" x14ac:dyDescent="0.3">
      <c r="D314" t="str">
        <f t="shared" si="15"/>
        <v/>
      </c>
    </row>
    <row r="315" spans="4:4" x14ac:dyDescent="0.3">
      <c r="D315" t="str">
        <f t="shared" si="15"/>
        <v/>
      </c>
    </row>
    <row r="316" spans="4:4" x14ac:dyDescent="0.3">
      <c r="D316" t="str">
        <f t="shared" si="15"/>
        <v/>
      </c>
    </row>
    <row r="317" spans="4:4" x14ac:dyDescent="0.3">
      <c r="D317" t="str">
        <f t="shared" si="15"/>
        <v/>
      </c>
    </row>
    <row r="318" spans="4:4" x14ac:dyDescent="0.3">
      <c r="D318" t="str">
        <f t="shared" si="15"/>
        <v/>
      </c>
    </row>
    <row r="319" spans="4:4" x14ac:dyDescent="0.3">
      <c r="D319" t="str">
        <f t="shared" si="15"/>
        <v/>
      </c>
    </row>
    <row r="320" spans="4:4" x14ac:dyDescent="0.3">
      <c r="D320" t="str">
        <f t="shared" si="15"/>
        <v/>
      </c>
    </row>
    <row r="321" spans="4:4" x14ac:dyDescent="0.3">
      <c r="D321" t="str">
        <f t="shared" si="15"/>
        <v/>
      </c>
    </row>
    <row r="322" spans="4:4" x14ac:dyDescent="0.3">
      <c r="D322" t="str">
        <f t="shared" si="15"/>
        <v/>
      </c>
    </row>
    <row r="323" spans="4:4" x14ac:dyDescent="0.3">
      <c r="D323" t="str">
        <f t="shared" si="15"/>
        <v/>
      </c>
    </row>
    <row r="324" spans="4:4" x14ac:dyDescent="0.3">
      <c r="D324" t="str">
        <f t="shared" si="15"/>
        <v/>
      </c>
    </row>
    <row r="325" spans="4:4" x14ac:dyDescent="0.3">
      <c r="D325" t="str">
        <f t="shared" si="15"/>
        <v/>
      </c>
    </row>
    <row r="326" spans="4:4" x14ac:dyDescent="0.3">
      <c r="D326" t="str">
        <f t="shared" si="15"/>
        <v/>
      </c>
    </row>
    <row r="327" spans="4:4" x14ac:dyDescent="0.3">
      <c r="D327" t="str">
        <f t="shared" si="15"/>
        <v/>
      </c>
    </row>
    <row r="328" spans="4:4" x14ac:dyDescent="0.3">
      <c r="D328" t="str">
        <f t="shared" si="15"/>
        <v/>
      </c>
    </row>
    <row r="329" spans="4:4" x14ac:dyDescent="0.3">
      <c r="D329" t="str">
        <f t="shared" si="15"/>
        <v/>
      </c>
    </row>
    <row r="330" spans="4:4" x14ac:dyDescent="0.3">
      <c r="D330" t="str">
        <f t="shared" si="15"/>
        <v/>
      </c>
    </row>
    <row r="331" spans="4:4" x14ac:dyDescent="0.3">
      <c r="D331" t="str">
        <f t="shared" si="15"/>
        <v/>
      </c>
    </row>
    <row r="332" spans="4:4" x14ac:dyDescent="0.3">
      <c r="D332" t="str">
        <f t="shared" si="15"/>
        <v/>
      </c>
    </row>
    <row r="333" spans="4:4" x14ac:dyDescent="0.3">
      <c r="D333" t="str">
        <f t="shared" si="15"/>
        <v/>
      </c>
    </row>
    <row r="334" spans="4:4" x14ac:dyDescent="0.3">
      <c r="D334" t="str">
        <f t="shared" si="15"/>
        <v/>
      </c>
    </row>
    <row r="335" spans="4:4" x14ac:dyDescent="0.3">
      <c r="D335" t="str">
        <f t="shared" si="15"/>
        <v/>
      </c>
    </row>
    <row r="336" spans="4:4" x14ac:dyDescent="0.3">
      <c r="D336" t="str">
        <f t="shared" si="15"/>
        <v/>
      </c>
    </row>
    <row r="337" spans="4:4" x14ac:dyDescent="0.3">
      <c r="D337" t="str">
        <f t="shared" si="15"/>
        <v/>
      </c>
    </row>
    <row r="338" spans="4:4" x14ac:dyDescent="0.3">
      <c r="D338" t="str">
        <f t="shared" si="15"/>
        <v/>
      </c>
    </row>
    <row r="339" spans="4:4" x14ac:dyDescent="0.3">
      <c r="D339" t="str">
        <f t="shared" si="15"/>
        <v/>
      </c>
    </row>
    <row r="340" spans="4:4" x14ac:dyDescent="0.3">
      <c r="D340" t="str">
        <f t="shared" si="15"/>
        <v/>
      </c>
    </row>
    <row r="341" spans="4:4" x14ac:dyDescent="0.3">
      <c r="D341" t="str">
        <f t="shared" si="15"/>
        <v/>
      </c>
    </row>
    <row r="342" spans="4:4" x14ac:dyDescent="0.3">
      <c r="D342" t="str">
        <f t="shared" si="15"/>
        <v/>
      </c>
    </row>
    <row r="343" spans="4:4" x14ac:dyDescent="0.3">
      <c r="D343" t="str">
        <f t="shared" si="15"/>
        <v/>
      </c>
    </row>
    <row r="344" spans="4:4" x14ac:dyDescent="0.3">
      <c r="D344" t="str">
        <f t="shared" si="15"/>
        <v/>
      </c>
    </row>
    <row r="345" spans="4:4" x14ac:dyDescent="0.3">
      <c r="D345" t="str">
        <f t="shared" si="15"/>
        <v/>
      </c>
    </row>
    <row r="346" spans="4:4" x14ac:dyDescent="0.3">
      <c r="D346" t="str">
        <f t="shared" si="15"/>
        <v/>
      </c>
    </row>
    <row r="347" spans="4:4" x14ac:dyDescent="0.3">
      <c r="D347" t="str">
        <f t="shared" si="15"/>
        <v/>
      </c>
    </row>
    <row r="348" spans="4:4" x14ac:dyDescent="0.3">
      <c r="D348" t="str">
        <f t="shared" si="15"/>
        <v/>
      </c>
    </row>
    <row r="349" spans="4:4" x14ac:dyDescent="0.3">
      <c r="D349" t="str">
        <f t="shared" si="15"/>
        <v/>
      </c>
    </row>
    <row r="350" spans="4:4" x14ac:dyDescent="0.3">
      <c r="D350" t="str">
        <f t="shared" si="15"/>
        <v/>
      </c>
    </row>
    <row r="351" spans="4:4" x14ac:dyDescent="0.3">
      <c r="D351" t="str">
        <f t="shared" si="15"/>
        <v/>
      </c>
    </row>
    <row r="352" spans="4:4" x14ac:dyDescent="0.3">
      <c r="D352" t="str">
        <f t="shared" si="15"/>
        <v/>
      </c>
    </row>
    <row r="353" spans="4:4" x14ac:dyDescent="0.3">
      <c r="D353" t="str">
        <f t="shared" si="15"/>
        <v/>
      </c>
    </row>
    <row r="354" spans="4:4" x14ac:dyDescent="0.3">
      <c r="D354" t="str">
        <f t="shared" si="15"/>
        <v/>
      </c>
    </row>
    <row r="355" spans="4:4" x14ac:dyDescent="0.3">
      <c r="D355" t="str">
        <f t="shared" si="15"/>
        <v/>
      </c>
    </row>
    <row r="356" spans="4:4" x14ac:dyDescent="0.3">
      <c r="D356" t="str">
        <f t="shared" si="15"/>
        <v/>
      </c>
    </row>
    <row r="357" spans="4:4" x14ac:dyDescent="0.3">
      <c r="D357" t="str">
        <f t="shared" si="15"/>
        <v/>
      </c>
    </row>
    <row r="358" spans="4:4" x14ac:dyDescent="0.3">
      <c r="D358" t="str">
        <f t="shared" si="15"/>
        <v/>
      </c>
    </row>
    <row r="359" spans="4:4" x14ac:dyDescent="0.3">
      <c r="D359" t="str">
        <f t="shared" ref="D359:D422" si="16">IF(D358&lt;&gt;"",IF($B$29&gt;=D358+1,D358+1,""), "")</f>
        <v/>
      </c>
    </row>
    <row r="360" spans="4:4" x14ac:dyDescent="0.3">
      <c r="D360" t="str">
        <f t="shared" si="16"/>
        <v/>
      </c>
    </row>
    <row r="361" spans="4:4" x14ac:dyDescent="0.3">
      <c r="D361" t="str">
        <f t="shared" si="16"/>
        <v/>
      </c>
    </row>
    <row r="362" spans="4:4" x14ac:dyDescent="0.3">
      <c r="D362" t="str">
        <f t="shared" si="16"/>
        <v/>
      </c>
    </row>
    <row r="363" spans="4:4" x14ac:dyDescent="0.3">
      <c r="D363" t="str">
        <f t="shared" si="16"/>
        <v/>
      </c>
    </row>
    <row r="364" spans="4:4" x14ac:dyDescent="0.3">
      <c r="D364" t="str">
        <f t="shared" si="16"/>
        <v/>
      </c>
    </row>
    <row r="365" spans="4:4" x14ac:dyDescent="0.3">
      <c r="D365" t="str">
        <f t="shared" si="16"/>
        <v/>
      </c>
    </row>
    <row r="366" spans="4:4" x14ac:dyDescent="0.3">
      <c r="D366" t="str">
        <f t="shared" si="16"/>
        <v/>
      </c>
    </row>
    <row r="367" spans="4:4" x14ac:dyDescent="0.3">
      <c r="D367" t="str">
        <f t="shared" si="16"/>
        <v/>
      </c>
    </row>
    <row r="368" spans="4:4" x14ac:dyDescent="0.3">
      <c r="D368" t="str">
        <f t="shared" si="16"/>
        <v/>
      </c>
    </row>
    <row r="369" spans="4:4" x14ac:dyDescent="0.3">
      <c r="D369" t="str">
        <f t="shared" si="16"/>
        <v/>
      </c>
    </row>
    <row r="370" spans="4:4" x14ac:dyDescent="0.3">
      <c r="D370" t="str">
        <f t="shared" si="16"/>
        <v/>
      </c>
    </row>
    <row r="371" spans="4:4" x14ac:dyDescent="0.3">
      <c r="D371" t="str">
        <f t="shared" si="16"/>
        <v/>
      </c>
    </row>
    <row r="372" spans="4:4" x14ac:dyDescent="0.3">
      <c r="D372" t="str">
        <f t="shared" si="16"/>
        <v/>
      </c>
    </row>
    <row r="373" spans="4:4" x14ac:dyDescent="0.3">
      <c r="D373" t="str">
        <f t="shared" si="16"/>
        <v/>
      </c>
    </row>
    <row r="374" spans="4:4" x14ac:dyDescent="0.3">
      <c r="D374" t="str">
        <f t="shared" si="16"/>
        <v/>
      </c>
    </row>
    <row r="375" spans="4:4" x14ac:dyDescent="0.3">
      <c r="D375" t="str">
        <f t="shared" si="16"/>
        <v/>
      </c>
    </row>
    <row r="376" spans="4:4" x14ac:dyDescent="0.3">
      <c r="D376" t="str">
        <f t="shared" si="16"/>
        <v/>
      </c>
    </row>
    <row r="377" spans="4:4" x14ac:dyDescent="0.3">
      <c r="D377" t="str">
        <f t="shared" si="16"/>
        <v/>
      </c>
    </row>
    <row r="378" spans="4:4" x14ac:dyDescent="0.3">
      <c r="D378" t="str">
        <f t="shared" si="16"/>
        <v/>
      </c>
    </row>
    <row r="379" spans="4:4" x14ac:dyDescent="0.3">
      <c r="D379" t="str">
        <f t="shared" si="16"/>
        <v/>
      </c>
    </row>
    <row r="380" spans="4:4" x14ac:dyDescent="0.3">
      <c r="D380" t="str">
        <f t="shared" si="16"/>
        <v/>
      </c>
    </row>
    <row r="381" spans="4:4" x14ac:dyDescent="0.3">
      <c r="D381" t="str">
        <f t="shared" si="16"/>
        <v/>
      </c>
    </row>
    <row r="382" spans="4:4" x14ac:dyDescent="0.3">
      <c r="D382" t="str">
        <f t="shared" si="16"/>
        <v/>
      </c>
    </row>
    <row r="383" spans="4:4" x14ac:dyDescent="0.3">
      <c r="D383" t="str">
        <f t="shared" si="16"/>
        <v/>
      </c>
    </row>
    <row r="384" spans="4:4" x14ac:dyDescent="0.3">
      <c r="D384" t="str">
        <f t="shared" si="16"/>
        <v/>
      </c>
    </row>
    <row r="385" spans="4:4" x14ac:dyDescent="0.3">
      <c r="D385" t="str">
        <f t="shared" si="16"/>
        <v/>
      </c>
    </row>
    <row r="386" spans="4:4" x14ac:dyDescent="0.3">
      <c r="D386" t="str">
        <f t="shared" si="16"/>
        <v/>
      </c>
    </row>
    <row r="387" spans="4:4" x14ac:dyDescent="0.3">
      <c r="D387" t="str">
        <f t="shared" si="16"/>
        <v/>
      </c>
    </row>
    <row r="388" spans="4:4" x14ac:dyDescent="0.3">
      <c r="D388" t="str">
        <f t="shared" si="16"/>
        <v/>
      </c>
    </row>
    <row r="389" spans="4:4" x14ac:dyDescent="0.3">
      <c r="D389" t="str">
        <f t="shared" si="16"/>
        <v/>
      </c>
    </row>
    <row r="390" spans="4:4" x14ac:dyDescent="0.3">
      <c r="D390" t="str">
        <f t="shared" si="16"/>
        <v/>
      </c>
    </row>
    <row r="391" spans="4:4" x14ac:dyDescent="0.3">
      <c r="D391" t="str">
        <f t="shared" si="16"/>
        <v/>
      </c>
    </row>
    <row r="392" spans="4:4" x14ac:dyDescent="0.3">
      <c r="D392" t="str">
        <f t="shared" si="16"/>
        <v/>
      </c>
    </row>
    <row r="393" spans="4:4" x14ac:dyDescent="0.3">
      <c r="D393" t="str">
        <f t="shared" si="16"/>
        <v/>
      </c>
    </row>
    <row r="394" spans="4:4" x14ac:dyDescent="0.3">
      <c r="D394" t="str">
        <f t="shared" si="16"/>
        <v/>
      </c>
    </row>
    <row r="395" spans="4:4" x14ac:dyDescent="0.3">
      <c r="D395" t="str">
        <f t="shared" si="16"/>
        <v/>
      </c>
    </row>
    <row r="396" spans="4:4" x14ac:dyDescent="0.3">
      <c r="D396" t="str">
        <f t="shared" si="16"/>
        <v/>
      </c>
    </row>
    <row r="397" spans="4:4" x14ac:dyDescent="0.3">
      <c r="D397" t="str">
        <f t="shared" si="16"/>
        <v/>
      </c>
    </row>
    <row r="398" spans="4:4" x14ac:dyDescent="0.3">
      <c r="D398" t="str">
        <f t="shared" si="16"/>
        <v/>
      </c>
    </row>
    <row r="399" spans="4:4" x14ac:dyDescent="0.3">
      <c r="D399" t="str">
        <f t="shared" si="16"/>
        <v/>
      </c>
    </row>
    <row r="400" spans="4:4" x14ac:dyDescent="0.3">
      <c r="D400" t="str">
        <f t="shared" si="16"/>
        <v/>
      </c>
    </row>
    <row r="401" spans="4:4" x14ac:dyDescent="0.3">
      <c r="D401" t="str">
        <f t="shared" si="16"/>
        <v/>
      </c>
    </row>
    <row r="402" spans="4:4" x14ac:dyDescent="0.3">
      <c r="D402" t="str">
        <f t="shared" si="16"/>
        <v/>
      </c>
    </row>
    <row r="403" spans="4:4" x14ac:dyDescent="0.3">
      <c r="D403" t="str">
        <f t="shared" si="16"/>
        <v/>
      </c>
    </row>
    <row r="404" spans="4:4" x14ac:dyDescent="0.3">
      <c r="D404" t="str">
        <f t="shared" si="16"/>
        <v/>
      </c>
    </row>
    <row r="405" spans="4:4" x14ac:dyDescent="0.3">
      <c r="D405" t="str">
        <f t="shared" si="16"/>
        <v/>
      </c>
    </row>
    <row r="406" spans="4:4" x14ac:dyDescent="0.3">
      <c r="D406" t="str">
        <f t="shared" si="16"/>
        <v/>
      </c>
    </row>
    <row r="407" spans="4:4" x14ac:dyDescent="0.3">
      <c r="D407" t="str">
        <f t="shared" si="16"/>
        <v/>
      </c>
    </row>
    <row r="408" spans="4:4" x14ac:dyDescent="0.3">
      <c r="D408" t="str">
        <f t="shared" si="16"/>
        <v/>
      </c>
    </row>
    <row r="409" spans="4:4" x14ac:dyDescent="0.3">
      <c r="D409" t="str">
        <f t="shared" si="16"/>
        <v/>
      </c>
    </row>
    <row r="410" spans="4:4" x14ac:dyDescent="0.3">
      <c r="D410" t="str">
        <f t="shared" si="16"/>
        <v/>
      </c>
    </row>
    <row r="411" spans="4:4" x14ac:dyDescent="0.3">
      <c r="D411" t="str">
        <f t="shared" si="16"/>
        <v/>
      </c>
    </row>
    <row r="412" spans="4:4" x14ac:dyDescent="0.3">
      <c r="D412" t="str">
        <f t="shared" si="16"/>
        <v/>
      </c>
    </row>
    <row r="413" spans="4:4" x14ac:dyDescent="0.3">
      <c r="D413" t="str">
        <f t="shared" si="16"/>
        <v/>
      </c>
    </row>
    <row r="414" spans="4:4" x14ac:dyDescent="0.3">
      <c r="D414" t="str">
        <f t="shared" si="16"/>
        <v/>
      </c>
    </row>
    <row r="415" spans="4:4" x14ac:dyDescent="0.3">
      <c r="D415" t="str">
        <f t="shared" si="16"/>
        <v/>
      </c>
    </row>
    <row r="416" spans="4:4" x14ac:dyDescent="0.3">
      <c r="D416" t="str">
        <f t="shared" si="16"/>
        <v/>
      </c>
    </row>
    <row r="417" spans="4:4" x14ac:dyDescent="0.3">
      <c r="D417" t="str">
        <f t="shared" si="16"/>
        <v/>
      </c>
    </row>
    <row r="418" spans="4:4" x14ac:dyDescent="0.3">
      <c r="D418" t="str">
        <f t="shared" si="16"/>
        <v/>
      </c>
    </row>
    <row r="419" spans="4:4" x14ac:dyDescent="0.3">
      <c r="D419" t="str">
        <f t="shared" si="16"/>
        <v/>
      </c>
    </row>
    <row r="420" spans="4:4" x14ac:dyDescent="0.3">
      <c r="D420" t="str">
        <f t="shared" si="16"/>
        <v/>
      </c>
    </row>
    <row r="421" spans="4:4" x14ac:dyDescent="0.3">
      <c r="D421" t="str">
        <f t="shared" si="16"/>
        <v/>
      </c>
    </row>
    <row r="422" spans="4:4" x14ac:dyDescent="0.3">
      <c r="D422" t="str">
        <f t="shared" si="16"/>
        <v/>
      </c>
    </row>
    <row r="423" spans="4:4" x14ac:dyDescent="0.3">
      <c r="D423" t="str">
        <f t="shared" ref="D423:D486" si="17">IF(D422&lt;&gt;"",IF($B$29&gt;=D422+1,D422+1,""), "")</f>
        <v/>
      </c>
    </row>
    <row r="424" spans="4:4" x14ac:dyDescent="0.3">
      <c r="D424" t="str">
        <f t="shared" si="17"/>
        <v/>
      </c>
    </row>
    <row r="425" spans="4:4" x14ac:dyDescent="0.3">
      <c r="D425" t="str">
        <f t="shared" si="17"/>
        <v/>
      </c>
    </row>
    <row r="426" spans="4:4" x14ac:dyDescent="0.3">
      <c r="D426" t="str">
        <f t="shared" si="17"/>
        <v/>
      </c>
    </row>
    <row r="427" spans="4:4" x14ac:dyDescent="0.3">
      <c r="D427" t="str">
        <f t="shared" si="17"/>
        <v/>
      </c>
    </row>
    <row r="428" spans="4:4" x14ac:dyDescent="0.3">
      <c r="D428" t="str">
        <f t="shared" si="17"/>
        <v/>
      </c>
    </row>
    <row r="429" spans="4:4" x14ac:dyDescent="0.3">
      <c r="D429" t="str">
        <f t="shared" si="17"/>
        <v/>
      </c>
    </row>
    <row r="430" spans="4:4" x14ac:dyDescent="0.3">
      <c r="D430" t="str">
        <f t="shared" si="17"/>
        <v/>
      </c>
    </row>
    <row r="431" spans="4:4" x14ac:dyDescent="0.3">
      <c r="D431" t="str">
        <f t="shared" si="17"/>
        <v/>
      </c>
    </row>
    <row r="432" spans="4:4" x14ac:dyDescent="0.3">
      <c r="D432" t="str">
        <f t="shared" si="17"/>
        <v/>
      </c>
    </row>
    <row r="433" spans="4:4" x14ac:dyDescent="0.3">
      <c r="D433" t="str">
        <f t="shared" si="17"/>
        <v/>
      </c>
    </row>
    <row r="434" spans="4:4" x14ac:dyDescent="0.3">
      <c r="D434" t="str">
        <f t="shared" si="17"/>
        <v/>
      </c>
    </row>
    <row r="435" spans="4:4" x14ac:dyDescent="0.3">
      <c r="D435" t="str">
        <f t="shared" si="17"/>
        <v/>
      </c>
    </row>
    <row r="436" spans="4:4" x14ac:dyDescent="0.3">
      <c r="D436" t="str">
        <f t="shared" si="17"/>
        <v/>
      </c>
    </row>
    <row r="437" spans="4:4" x14ac:dyDescent="0.3">
      <c r="D437" t="str">
        <f t="shared" si="17"/>
        <v/>
      </c>
    </row>
    <row r="438" spans="4:4" x14ac:dyDescent="0.3">
      <c r="D438" t="str">
        <f t="shared" si="17"/>
        <v/>
      </c>
    </row>
    <row r="439" spans="4:4" x14ac:dyDescent="0.3">
      <c r="D439" t="str">
        <f t="shared" si="17"/>
        <v/>
      </c>
    </row>
    <row r="440" spans="4:4" x14ac:dyDescent="0.3">
      <c r="D440" t="str">
        <f t="shared" si="17"/>
        <v/>
      </c>
    </row>
    <row r="441" spans="4:4" x14ac:dyDescent="0.3">
      <c r="D441" t="str">
        <f t="shared" si="17"/>
        <v/>
      </c>
    </row>
    <row r="442" spans="4:4" x14ac:dyDescent="0.3">
      <c r="D442" t="str">
        <f t="shared" si="17"/>
        <v/>
      </c>
    </row>
    <row r="443" spans="4:4" x14ac:dyDescent="0.3">
      <c r="D443" t="str">
        <f t="shared" si="17"/>
        <v/>
      </c>
    </row>
    <row r="444" spans="4:4" x14ac:dyDescent="0.3">
      <c r="D444" t="str">
        <f t="shared" si="17"/>
        <v/>
      </c>
    </row>
    <row r="445" spans="4:4" x14ac:dyDescent="0.3">
      <c r="D445" t="str">
        <f t="shared" si="17"/>
        <v/>
      </c>
    </row>
    <row r="446" spans="4:4" x14ac:dyDescent="0.3">
      <c r="D446" t="str">
        <f t="shared" si="17"/>
        <v/>
      </c>
    </row>
    <row r="447" spans="4:4" x14ac:dyDescent="0.3">
      <c r="D447" t="str">
        <f t="shared" si="17"/>
        <v/>
      </c>
    </row>
    <row r="448" spans="4:4" x14ac:dyDescent="0.3">
      <c r="D448" t="str">
        <f t="shared" si="17"/>
        <v/>
      </c>
    </row>
    <row r="449" spans="4:4" x14ac:dyDescent="0.3">
      <c r="D449" t="str">
        <f t="shared" si="17"/>
        <v/>
      </c>
    </row>
    <row r="450" spans="4:4" x14ac:dyDescent="0.3">
      <c r="D450" t="str">
        <f t="shared" si="17"/>
        <v/>
      </c>
    </row>
    <row r="451" spans="4:4" x14ac:dyDescent="0.3">
      <c r="D451" t="str">
        <f t="shared" si="17"/>
        <v/>
      </c>
    </row>
    <row r="452" spans="4:4" x14ac:dyDescent="0.3">
      <c r="D452" t="str">
        <f t="shared" si="17"/>
        <v/>
      </c>
    </row>
    <row r="453" spans="4:4" x14ac:dyDescent="0.3">
      <c r="D453" t="str">
        <f t="shared" si="17"/>
        <v/>
      </c>
    </row>
    <row r="454" spans="4:4" x14ac:dyDescent="0.3">
      <c r="D454" t="str">
        <f t="shared" si="17"/>
        <v/>
      </c>
    </row>
    <row r="455" spans="4:4" x14ac:dyDescent="0.3">
      <c r="D455" t="str">
        <f t="shared" si="17"/>
        <v/>
      </c>
    </row>
    <row r="456" spans="4:4" x14ac:dyDescent="0.3">
      <c r="D456" t="str">
        <f t="shared" si="17"/>
        <v/>
      </c>
    </row>
    <row r="457" spans="4:4" x14ac:dyDescent="0.3">
      <c r="D457" t="str">
        <f t="shared" si="17"/>
        <v/>
      </c>
    </row>
    <row r="458" spans="4:4" x14ac:dyDescent="0.3">
      <c r="D458" t="str">
        <f t="shared" si="17"/>
        <v/>
      </c>
    </row>
    <row r="459" spans="4:4" x14ac:dyDescent="0.3">
      <c r="D459" t="str">
        <f t="shared" si="17"/>
        <v/>
      </c>
    </row>
    <row r="460" spans="4:4" x14ac:dyDescent="0.3">
      <c r="D460" t="str">
        <f t="shared" si="17"/>
        <v/>
      </c>
    </row>
    <row r="461" spans="4:4" x14ac:dyDescent="0.3">
      <c r="D461" t="str">
        <f t="shared" si="17"/>
        <v/>
      </c>
    </row>
    <row r="462" spans="4:4" x14ac:dyDescent="0.3">
      <c r="D462" t="str">
        <f t="shared" si="17"/>
        <v/>
      </c>
    </row>
    <row r="463" spans="4:4" x14ac:dyDescent="0.3">
      <c r="D463" t="str">
        <f t="shared" si="17"/>
        <v/>
      </c>
    </row>
    <row r="464" spans="4:4" x14ac:dyDescent="0.3">
      <c r="D464" t="str">
        <f t="shared" si="17"/>
        <v/>
      </c>
    </row>
    <row r="465" spans="4:4" x14ac:dyDescent="0.3">
      <c r="D465" t="str">
        <f t="shared" si="17"/>
        <v/>
      </c>
    </row>
    <row r="466" spans="4:4" x14ac:dyDescent="0.3">
      <c r="D466" t="str">
        <f t="shared" si="17"/>
        <v/>
      </c>
    </row>
    <row r="467" spans="4:4" x14ac:dyDescent="0.3">
      <c r="D467" t="str">
        <f t="shared" si="17"/>
        <v/>
      </c>
    </row>
    <row r="468" spans="4:4" x14ac:dyDescent="0.3">
      <c r="D468" t="str">
        <f t="shared" si="17"/>
        <v/>
      </c>
    </row>
    <row r="469" spans="4:4" x14ac:dyDescent="0.3">
      <c r="D469" t="str">
        <f t="shared" si="17"/>
        <v/>
      </c>
    </row>
    <row r="470" spans="4:4" x14ac:dyDescent="0.3">
      <c r="D470" t="str">
        <f t="shared" si="17"/>
        <v/>
      </c>
    </row>
    <row r="471" spans="4:4" x14ac:dyDescent="0.3">
      <c r="D471" t="str">
        <f t="shared" si="17"/>
        <v/>
      </c>
    </row>
    <row r="472" spans="4:4" x14ac:dyDescent="0.3">
      <c r="D472" t="str">
        <f t="shared" si="17"/>
        <v/>
      </c>
    </row>
    <row r="473" spans="4:4" x14ac:dyDescent="0.3">
      <c r="D473" t="str">
        <f t="shared" si="17"/>
        <v/>
      </c>
    </row>
    <row r="474" spans="4:4" x14ac:dyDescent="0.3">
      <c r="D474" t="str">
        <f t="shared" si="17"/>
        <v/>
      </c>
    </row>
    <row r="475" spans="4:4" x14ac:dyDescent="0.3">
      <c r="D475" t="str">
        <f t="shared" si="17"/>
        <v/>
      </c>
    </row>
    <row r="476" spans="4:4" x14ac:dyDescent="0.3">
      <c r="D476" t="str">
        <f t="shared" si="17"/>
        <v/>
      </c>
    </row>
    <row r="477" spans="4:4" x14ac:dyDescent="0.3">
      <c r="D477" t="str">
        <f t="shared" si="17"/>
        <v/>
      </c>
    </row>
    <row r="478" spans="4:4" x14ac:dyDescent="0.3">
      <c r="D478" t="str">
        <f t="shared" si="17"/>
        <v/>
      </c>
    </row>
    <row r="479" spans="4:4" x14ac:dyDescent="0.3">
      <c r="D479" t="str">
        <f t="shared" si="17"/>
        <v/>
      </c>
    </row>
    <row r="480" spans="4:4" x14ac:dyDescent="0.3">
      <c r="D480" t="str">
        <f t="shared" si="17"/>
        <v/>
      </c>
    </row>
    <row r="481" spans="4:4" x14ac:dyDescent="0.3">
      <c r="D481" t="str">
        <f t="shared" si="17"/>
        <v/>
      </c>
    </row>
    <row r="482" spans="4:4" x14ac:dyDescent="0.3">
      <c r="D482" t="str">
        <f t="shared" si="17"/>
        <v/>
      </c>
    </row>
    <row r="483" spans="4:4" x14ac:dyDescent="0.3">
      <c r="D483" t="str">
        <f t="shared" si="17"/>
        <v/>
      </c>
    </row>
    <row r="484" spans="4:4" x14ac:dyDescent="0.3">
      <c r="D484" t="str">
        <f t="shared" si="17"/>
        <v/>
      </c>
    </row>
    <row r="485" spans="4:4" x14ac:dyDescent="0.3">
      <c r="D485" t="str">
        <f t="shared" si="17"/>
        <v/>
      </c>
    </row>
    <row r="486" spans="4:4" x14ac:dyDescent="0.3">
      <c r="D486" t="str">
        <f t="shared" si="17"/>
        <v/>
      </c>
    </row>
    <row r="487" spans="4:4" x14ac:dyDescent="0.3">
      <c r="D487" t="str">
        <f t="shared" ref="D487:D550" si="18">IF(D486&lt;&gt;"",IF($B$29&gt;=D486+1,D486+1,""), "")</f>
        <v/>
      </c>
    </row>
    <row r="488" spans="4:4" x14ac:dyDescent="0.3">
      <c r="D488" t="str">
        <f t="shared" si="18"/>
        <v/>
      </c>
    </row>
    <row r="489" spans="4:4" x14ac:dyDescent="0.3">
      <c r="D489" t="str">
        <f t="shared" si="18"/>
        <v/>
      </c>
    </row>
    <row r="490" spans="4:4" x14ac:dyDescent="0.3">
      <c r="D490" t="str">
        <f t="shared" si="18"/>
        <v/>
      </c>
    </row>
    <row r="491" spans="4:4" x14ac:dyDescent="0.3">
      <c r="D491" t="str">
        <f t="shared" si="18"/>
        <v/>
      </c>
    </row>
    <row r="492" spans="4:4" x14ac:dyDescent="0.3">
      <c r="D492" t="str">
        <f t="shared" si="18"/>
        <v/>
      </c>
    </row>
    <row r="493" spans="4:4" x14ac:dyDescent="0.3">
      <c r="D493" t="str">
        <f t="shared" si="18"/>
        <v/>
      </c>
    </row>
    <row r="494" spans="4:4" x14ac:dyDescent="0.3">
      <c r="D494" t="str">
        <f t="shared" si="18"/>
        <v/>
      </c>
    </row>
    <row r="495" spans="4:4" x14ac:dyDescent="0.3">
      <c r="D495" t="str">
        <f t="shared" si="18"/>
        <v/>
      </c>
    </row>
    <row r="496" spans="4:4" x14ac:dyDescent="0.3">
      <c r="D496" t="str">
        <f t="shared" si="18"/>
        <v/>
      </c>
    </row>
    <row r="497" spans="4:4" x14ac:dyDescent="0.3">
      <c r="D497" t="str">
        <f t="shared" si="18"/>
        <v/>
      </c>
    </row>
    <row r="498" spans="4:4" x14ac:dyDescent="0.3">
      <c r="D498" t="str">
        <f t="shared" si="18"/>
        <v/>
      </c>
    </row>
    <row r="499" spans="4:4" x14ac:dyDescent="0.3">
      <c r="D499" t="str">
        <f t="shared" si="18"/>
        <v/>
      </c>
    </row>
    <row r="500" spans="4:4" x14ac:dyDescent="0.3">
      <c r="D500" t="str">
        <f t="shared" si="18"/>
        <v/>
      </c>
    </row>
    <row r="501" spans="4:4" x14ac:dyDescent="0.3">
      <c r="D501" t="str">
        <f t="shared" si="18"/>
        <v/>
      </c>
    </row>
    <row r="502" spans="4:4" x14ac:dyDescent="0.3">
      <c r="D502" t="str">
        <f t="shared" si="18"/>
        <v/>
      </c>
    </row>
    <row r="503" spans="4:4" x14ac:dyDescent="0.3">
      <c r="D503" t="str">
        <f t="shared" si="18"/>
        <v/>
      </c>
    </row>
    <row r="504" spans="4:4" x14ac:dyDescent="0.3">
      <c r="D504" t="str">
        <f t="shared" si="18"/>
        <v/>
      </c>
    </row>
    <row r="505" spans="4:4" x14ac:dyDescent="0.3">
      <c r="D505" t="str">
        <f t="shared" si="18"/>
        <v/>
      </c>
    </row>
    <row r="506" spans="4:4" x14ac:dyDescent="0.3">
      <c r="D506" t="str">
        <f t="shared" si="18"/>
        <v/>
      </c>
    </row>
    <row r="507" spans="4:4" x14ac:dyDescent="0.3">
      <c r="D507" t="str">
        <f t="shared" si="18"/>
        <v/>
      </c>
    </row>
    <row r="508" spans="4:4" x14ac:dyDescent="0.3">
      <c r="D508" t="str">
        <f t="shared" si="18"/>
        <v/>
      </c>
    </row>
    <row r="509" spans="4:4" x14ac:dyDescent="0.3">
      <c r="D509" t="str">
        <f t="shared" si="18"/>
        <v/>
      </c>
    </row>
    <row r="510" spans="4:4" x14ac:dyDescent="0.3">
      <c r="D510" t="str">
        <f t="shared" si="18"/>
        <v/>
      </c>
    </row>
    <row r="511" spans="4:4" x14ac:dyDescent="0.3">
      <c r="D511" t="str">
        <f t="shared" si="18"/>
        <v/>
      </c>
    </row>
    <row r="512" spans="4:4" x14ac:dyDescent="0.3">
      <c r="D512" t="str">
        <f t="shared" si="18"/>
        <v/>
      </c>
    </row>
    <row r="513" spans="4:4" x14ac:dyDescent="0.3">
      <c r="D513" t="str">
        <f t="shared" si="18"/>
        <v/>
      </c>
    </row>
    <row r="514" spans="4:4" x14ac:dyDescent="0.3">
      <c r="D514" t="str">
        <f t="shared" si="18"/>
        <v/>
      </c>
    </row>
    <row r="515" spans="4:4" x14ac:dyDescent="0.3">
      <c r="D515" t="str">
        <f t="shared" si="18"/>
        <v/>
      </c>
    </row>
    <row r="516" spans="4:4" x14ac:dyDescent="0.3">
      <c r="D516" t="str">
        <f t="shared" si="18"/>
        <v/>
      </c>
    </row>
    <row r="517" spans="4:4" x14ac:dyDescent="0.3">
      <c r="D517" t="str">
        <f t="shared" si="18"/>
        <v/>
      </c>
    </row>
    <row r="518" spans="4:4" x14ac:dyDescent="0.3">
      <c r="D518" t="str">
        <f t="shared" si="18"/>
        <v/>
      </c>
    </row>
    <row r="519" spans="4:4" x14ac:dyDescent="0.3">
      <c r="D519" t="str">
        <f t="shared" si="18"/>
        <v/>
      </c>
    </row>
    <row r="520" spans="4:4" x14ac:dyDescent="0.3">
      <c r="D520" t="str">
        <f t="shared" si="18"/>
        <v/>
      </c>
    </row>
    <row r="521" spans="4:4" x14ac:dyDescent="0.3">
      <c r="D521" t="str">
        <f t="shared" si="18"/>
        <v/>
      </c>
    </row>
    <row r="522" spans="4:4" x14ac:dyDescent="0.3">
      <c r="D522" t="str">
        <f t="shared" si="18"/>
        <v/>
      </c>
    </row>
    <row r="523" spans="4:4" x14ac:dyDescent="0.3">
      <c r="D523" t="str">
        <f t="shared" si="18"/>
        <v/>
      </c>
    </row>
    <row r="524" spans="4:4" x14ac:dyDescent="0.3">
      <c r="D524" t="str">
        <f t="shared" si="18"/>
        <v/>
      </c>
    </row>
    <row r="525" spans="4:4" x14ac:dyDescent="0.3">
      <c r="D525" t="str">
        <f t="shared" si="18"/>
        <v/>
      </c>
    </row>
    <row r="526" spans="4:4" x14ac:dyDescent="0.3">
      <c r="D526" t="str">
        <f t="shared" si="18"/>
        <v/>
      </c>
    </row>
    <row r="527" spans="4:4" x14ac:dyDescent="0.3">
      <c r="D527" t="str">
        <f t="shared" si="18"/>
        <v/>
      </c>
    </row>
    <row r="528" spans="4:4" x14ac:dyDescent="0.3">
      <c r="D528" t="str">
        <f t="shared" si="18"/>
        <v/>
      </c>
    </row>
    <row r="529" spans="4:4" x14ac:dyDescent="0.3">
      <c r="D529" t="str">
        <f t="shared" si="18"/>
        <v/>
      </c>
    </row>
    <row r="530" spans="4:4" x14ac:dyDescent="0.3">
      <c r="D530" t="str">
        <f t="shared" si="18"/>
        <v/>
      </c>
    </row>
    <row r="531" spans="4:4" x14ac:dyDescent="0.3">
      <c r="D531" t="str">
        <f t="shared" si="18"/>
        <v/>
      </c>
    </row>
    <row r="532" spans="4:4" x14ac:dyDescent="0.3">
      <c r="D532" t="str">
        <f t="shared" si="18"/>
        <v/>
      </c>
    </row>
    <row r="533" spans="4:4" x14ac:dyDescent="0.3">
      <c r="D533" t="str">
        <f t="shared" si="18"/>
        <v/>
      </c>
    </row>
    <row r="534" spans="4:4" x14ac:dyDescent="0.3">
      <c r="D534" t="str">
        <f t="shared" si="18"/>
        <v/>
      </c>
    </row>
    <row r="535" spans="4:4" x14ac:dyDescent="0.3">
      <c r="D535" t="str">
        <f t="shared" si="18"/>
        <v/>
      </c>
    </row>
    <row r="536" spans="4:4" x14ac:dyDescent="0.3">
      <c r="D536" t="str">
        <f t="shared" si="18"/>
        <v/>
      </c>
    </row>
    <row r="537" spans="4:4" x14ac:dyDescent="0.3">
      <c r="D537" t="str">
        <f t="shared" si="18"/>
        <v/>
      </c>
    </row>
    <row r="538" spans="4:4" x14ac:dyDescent="0.3">
      <c r="D538" t="str">
        <f t="shared" si="18"/>
        <v/>
      </c>
    </row>
    <row r="539" spans="4:4" x14ac:dyDescent="0.3">
      <c r="D539" t="str">
        <f t="shared" si="18"/>
        <v/>
      </c>
    </row>
    <row r="540" spans="4:4" x14ac:dyDescent="0.3">
      <c r="D540" t="str">
        <f t="shared" si="18"/>
        <v/>
      </c>
    </row>
    <row r="541" spans="4:4" x14ac:dyDescent="0.3">
      <c r="D541" t="str">
        <f t="shared" si="18"/>
        <v/>
      </c>
    </row>
    <row r="542" spans="4:4" x14ac:dyDescent="0.3">
      <c r="D542" t="str">
        <f t="shared" si="18"/>
        <v/>
      </c>
    </row>
    <row r="543" spans="4:4" x14ac:dyDescent="0.3">
      <c r="D543" t="str">
        <f t="shared" si="18"/>
        <v/>
      </c>
    </row>
    <row r="544" spans="4:4" x14ac:dyDescent="0.3">
      <c r="D544" t="str">
        <f t="shared" si="18"/>
        <v/>
      </c>
    </row>
    <row r="545" spans="4:4" x14ac:dyDescent="0.3">
      <c r="D545" t="str">
        <f t="shared" si="18"/>
        <v/>
      </c>
    </row>
    <row r="546" spans="4:4" x14ac:dyDescent="0.3">
      <c r="D546" t="str">
        <f t="shared" si="18"/>
        <v/>
      </c>
    </row>
    <row r="547" spans="4:4" x14ac:dyDescent="0.3">
      <c r="D547" t="str">
        <f t="shared" si="18"/>
        <v/>
      </c>
    </row>
    <row r="548" spans="4:4" x14ac:dyDescent="0.3">
      <c r="D548" t="str">
        <f t="shared" si="18"/>
        <v/>
      </c>
    </row>
    <row r="549" spans="4:4" x14ac:dyDescent="0.3">
      <c r="D549" t="str">
        <f t="shared" si="18"/>
        <v/>
      </c>
    </row>
    <row r="550" spans="4:4" x14ac:dyDescent="0.3">
      <c r="D550" t="str">
        <f t="shared" si="18"/>
        <v/>
      </c>
    </row>
    <row r="551" spans="4:4" x14ac:dyDescent="0.3">
      <c r="D551" t="str">
        <f t="shared" ref="D551:D614" si="19">IF(D550&lt;&gt;"",IF($B$29&gt;=D550+1,D550+1,""), "")</f>
        <v/>
      </c>
    </row>
    <row r="552" spans="4:4" x14ac:dyDescent="0.3">
      <c r="D552" t="str">
        <f t="shared" si="19"/>
        <v/>
      </c>
    </row>
    <row r="553" spans="4:4" x14ac:dyDescent="0.3">
      <c r="D553" t="str">
        <f t="shared" si="19"/>
        <v/>
      </c>
    </row>
    <row r="554" spans="4:4" x14ac:dyDescent="0.3">
      <c r="D554" t="str">
        <f t="shared" si="19"/>
        <v/>
      </c>
    </row>
    <row r="555" spans="4:4" x14ac:dyDescent="0.3">
      <c r="D555" t="str">
        <f t="shared" si="19"/>
        <v/>
      </c>
    </row>
    <row r="556" spans="4:4" x14ac:dyDescent="0.3">
      <c r="D556" t="str">
        <f t="shared" si="19"/>
        <v/>
      </c>
    </row>
    <row r="557" spans="4:4" x14ac:dyDescent="0.3">
      <c r="D557" t="str">
        <f t="shared" si="19"/>
        <v/>
      </c>
    </row>
    <row r="558" spans="4:4" x14ac:dyDescent="0.3">
      <c r="D558" t="str">
        <f t="shared" si="19"/>
        <v/>
      </c>
    </row>
    <row r="559" spans="4:4" x14ac:dyDescent="0.3">
      <c r="D559" t="str">
        <f t="shared" si="19"/>
        <v/>
      </c>
    </row>
    <row r="560" spans="4:4" x14ac:dyDescent="0.3">
      <c r="D560" t="str">
        <f t="shared" si="19"/>
        <v/>
      </c>
    </row>
    <row r="561" spans="4:4" x14ac:dyDescent="0.3">
      <c r="D561" t="str">
        <f t="shared" si="19"/>
        <v/>
      </c>
    </row>
    <row r="562" spans="4:4" x14ac:dyDescent="0.3">
      <c r="D562" t="str">
        <f t="shared" si="19"/>
        <v/>
      </c>
    </row>
    <row r="563" spans="4:4" x14ac:dyDescent="0.3">
      <c r="D563" t="str">
        <f t="shared" si="19"/>
        <v/>
      </c>
    </row>
    <row r="564" spans="4:4" x14ac:dyDescent="0.3">
      <c r="D564" t="str">
        <f t="shared" si="19"/>
        <v/>
      </c>
    </row>
    <row r="565" spans="4:4" x14ac:dyDescent="0.3">
      <c r="D565" t="str">
        <f t="shared" si="19"/>
        <v/>
      </c>
    </row>
    <row r="566" spans="4:4" x14ac:dyDescent="0.3">
      <c r="D566" t="str">
        <f t="shared" si="19"/>
        <v/>
      </c>
    </row>
    <row r="567" spans="4:4" x14ac:dyDescent="0.3">
      <c r="D567" t="str">
        <f t="shared" si="19"/>
        <v/>
      </c>
    </row>
    <row r="568" spans="4:4" x14ac:dyDescent="0.3">
      <c r="D568" t="str">
        <f t="shared" si="19"/>
        <v/>
      </c>
    </row>
    <row r="569" spans="4:4" x14ac:dyDescent="0.3">
      <c r="D569" t="str">
        <f t="shared" si="19"/>
        <v/>
      </c>
    </row>
    <row r="570" spans="4:4" x14ac:dyDescent="0.3">
      <c r="D570" t="str">
        <f t="shared" si="19"/>
        <v/>
      </c>
    </row>
    <row r="571" spans="4:4" x14ac:dyDescent="0.3">
      <c r="D571" t="str">
        <f t="shared" si="19"/>
        <v/>
      </c>
    </row>
    <row r="572" spans="4:4" x14ac:dyDescent="0.3">
      <c r="D572" t="str">
        <f t="shared" si="19"/>
        <v/>
      </c>
    </row>
    <row r="573" spans="4:4" x14ac:dyDescent="0.3">
      <c r="D573" t="str">
        <f t="shared" si="19"/>
        <v/>
      </c>
    </row>
    <row r="574" spans="4:4" x14ac:dyDescent="0.3">
      <c r="D574" t="str">
        <f t="shared" si="19"/>
        <v/>
      </c>
    </row>
    <row r="575" spans="4:4" x14ac:dyDescent="0.3">
      <c r="D575" t="str">
        <f t="shared" si="19"/>
        <v/>
      </c>
    </row>
    <row r="576" spans="4:4" x14ac:dyDescent="0.3">
      <c r="D576" t="str">
        <f t="shared" si="19"/>
        <v/>
      </c>
    </row>
    <row r="577" spans="4:4" x14ac:dyDescent="0.3">
      <c r="D577" t="str">
        <f t="shared" si="19"/>
        <v/>
      </c>
    </row>
    <row r="578" spans="4:4" x14ac:dyDescent="0.3">
      <c r="D578" t="str">
        <f t="shared" si="19"/>
        <v/>
      </c>
    </row>
    <row r="579" spans="4:4" x14ac:dyDescent="0.3">
      <c r="D579" t="str">
        <f t="shared" si="19"/>
        <v/>
      </c>
    </row>
    <row r="580" spans="4:4" x14ac:dyDescent="0.3">
      <c r="D580" t="str">
        <f t="shared" si="19"/>
        <v/>
      </c>
    </row>
    <row r="581" spans="4:4" x14ac:dyDescent="0.3">
      <c r="D581" t="str">
        <f t="shared" si="19"/>
        <v/>
      </c>
    </row>
    <row r="582" spans="4:4" x14ac:dyDescent="0.3">
      <c r="D582" t="str">
        <f t="shared" si="19"/>
        <v/>
      </c>
    </row>
    <row r="583" spans="4:4" x14ac:dyDescent="0.3">
      <c r="D583" t="str">
        <f t="shared" si="19"/>
        <v/>
      </c>
    </row>
    <row r="584" spans="4:4" x14ac:dyDescent="0.3">
      <c r="D584" t="str">
        <f t="shared" si="19"/>
        <v/>
      </c>
    </row>
    <row r="585" spans="4:4" x14ac:dyDescent="0.3">
      <c r="D585" t="str">
        <f t="shared" si="19"/>
        <v/>
      </c>
    </row>
    <row r="586" spans="4:4" x14ac:dyDescent="0.3">
      <c r="D586" t="str">
        <f t="shared" si="19"/>
        <v/>
      </c>
    </row>
    <row r="587" spans="4:4" x14ac:dyDescent="0.3">
      <c r="D587" t="str">
        <f t="shared" si="19"/>
        <v/>
      </c>
    </row>
    <row r="588" spans="4:4" x14ac:dyDescent="0.3">
      <c r="D588" t="str">
        <f t="shared" si="19"/>
        <v/>
      </c>
    </row>
    <row r="589" spans="4:4" x14ac:dyDescent="0.3">
      <c r="D589" t="str">
        <f t="shared" si="19"/>
        <v/>
      </c>
    </row>
    <row r="590" spans="4:4" x14ac:dyDescent="0.3">
      <c r="D590" t="str">
        <f t="shared" si="19"/>
        <v/>
      </c>
    </row>
    <row r="591" spans="4:4" x14ac:dyDescent="0.3">
      <c r="D591" t="str">
        <f t="shared" si="19"/>
        <v/>
      </c>
    </row>
    <row r="592" spans="4:4" x14ac:dyDescent="0.3">
      <c r="D592" t="str">
        <f t="shared" si="19"/>
        <v/>
      </c>
    </row>
    <row r="593" spans="4:4" x14ac:dyDescent="0.3">
      <c r="D593" t="str">
        <f t="shared" si="19"/>
        <v/>
      </c>
    </row>
    <row r="594" spans="4:4" x14ac:dyDescent="0.3">
      <c r="D594" t="str">
        <f t="shared" si="19"/>
        <v/>
      </c>
    </row>
    <row r="595" spans="4:4" x14ac:dyDescent="0.3">
      <c r="D595" t="str">
        <f t="shared" si="19"/>
        <v/>
      </c>
    </row>
    <row r="596" spans="4:4" x14ac:dyDescent="0.3">
      <c r="D596" t="str">
        <f t="shared" si="19"/>
        <v/>
      </c>
    </row>
    <row r="597" spans="4:4" x14ac:dyDescent="0.3">
      <c r="D597" t="str">
        <f t="shared" si="19"/>
        <v/>
      </c>
    </row>
    <row r="598" spans="4:4" x14ac:dyDescent="0.3">
      <c r="D598" t="str">
        <f t="shared" si="19"/>
        <v/>
      </c>
    </row>
    <row r="599" spans="4:4" x14ac:dyDescent="0.3">
      <c r="D599" t="str">
        <f t="shared" si="19"/>
        <v/>
      </c>
    </row>
    <row r="600" spans="4:4" x14ac:dyDescent="0.3">
      <c r="D600" t="str">
        <f t="shared" si="19"/>
        <v/>
      </c>
    </row>
    <row r="601" spans="4:4" x14ac:dyDescent="0.3">
      <c r="D601" t="str">
        <f t="shared" si="19"/>
        <v/>
      </c>
    </row>
    <row r="602" spans="4:4" x14ac:dyDescent="0.3">
      <c r="D602" t="str">
        <f t="shared" si="19"/>
        <v/>
      </c>
    </row>
    <row r="603" spans="4:4" x14ac:dyDescent="0.3">
      <c r="D603" t="str">
        <f t="shared" si="19"/>
        <v/>
      </c>
    </row>
    <row r="604" spans="4:4" x14ac:dyDescent="0.3">
      <c r="D604" t="str">
        <f t="shared" si="19"/>
        <v/>
      </c>
    </row>
    <row r="605" spans="4:4" x14ac:dyDescent="0.3">
      <c r="D605" t="str">
        <f t="shared" si="19"/>
        <v/>
      </c>
    </row>
    <row r="606" spans="4:4" x14ac:dyDescent="0.3">
      <c r="D606" t="str">
        <f t="shared" si="19"/>
        <v/>
      </c>
    </row>
    <row r="607" spans="4:4" x14ac:dyDescent="0.3">
      <c r="D607" t="str">
        <f t="shared" si="19"/>
        <v/>
      </c>
    </row>
    <row r="608" spans="4:4" x14ac:dyDescent="0.3">
      <c r="D608" t="str">
        <f t="shared" si="19"/>
        <v/>
      </c>
    </row>
    <row r="609" spans="4:4" x14ac:dyDescent="0.3">
      <c r="D609" t="str">
        <f t="shared" si="19"/>
        <v/>
      </c>
    </row>
    <row r="610" spans="4:4" x14ac:dyDescent="0.3">
      <c r="D610" t="str">
        <f t="shared" si="19"/>
        <v/>
      </c>
    </row>
    <row r="611" spans="4:4" x14ac:dyDescent="0.3">
      <c r="D611" t="str">
        <f t="shared" si="19"/>
        <v/>
      </c>
    </row>
    <row r="612" spans="4:4" x14ac:dyDescent="0.3">
      <c r="D612" t="str">
        <f t="shared" si="19"/>
        <v/>
      </c>
    </row>
    <row r="613" spans="4:4" x14ac:dyDescent="0.3">
      <c r="D613" t="str">
        <f t="shared" si="19"/>
        <v/>
      </c>
    </row>
    <row r="614" spans="4:4" x14ac:dyDescent="0.3">
      <c r="D614" t="str">
        <f t="shared" si="19"/>
        <v/>
      </c>
    </row>
    <row r="615" spans="4:4" x14ac:dyDescent="0.3">
      <c r="D615" t="str">
        <f t="shared" ref="D615:D678" si="20">IF(D614&lt;&gt;"",IF($B$29&gt;=D614+1,D614+1,""), "")</f>
        <v/>
      </c>
    </row>
    <row r="616" spans="4:4" x14ac:dyDescent="0.3">
      <c r="D616" t="str">
        <f t="shared" si="20"/>
        <v/>
      </c>
    </row>
    <row r="617" spans="4:4" x14ac:dyDescent="0.3">
      <c r="D617" t="str">
        <f t="shared" si="20"/>
        <v/>
      </c>
    </row>
    <row r="618" spans="4:4" x14ac:dyDescent="0.3">
      <c r="D618" t="str">
        <f t="shared" si="20"/>
        <v/>
      </c>
    </row>
    <row r="619" spans="4:4" x14ac:dyDescent="0.3">
      <c r="D619" t="str">
        <f t="shared" si="20"/>
        <v/>
      </c>
    </row>
    <row r="620" spans="4:4" x14ac:dyDescent="0.3">
      <c r="D620" t="str">
        <f t="shared" si="20"/>
        <v/>
      </c>
    </row>
    <row r="621" spans="4:4" x14ac:dyDescent="0.3">
      <c r="D621" t="str">
        <f t="shared" si="20"/>
        <v/>
      </c>
    </row>
    <row r="622" spans="4:4" x14ac:dyDescent="0.3">
      <c r="D622" t="str">
        <f t="shared" si="20"/>
        <v/>
      </c>
    </row>
    <row r="623" spans="4:4" x14ac:dyDescent="0.3">
      <c r="D623" t="str">
        <f t="shared" si="20"/>
        <v/>
      </c>
    </row>
    <row r="624" spans="4:4" x14ac:dyDescent="0.3">
      <c r="D624" t="str">
        <f t="shared" si="20"/>
        <v/>
      </c>
    </row>
    <row r="625" spans="4:4" x14ac:dyDescent="0.3">
      <c r="D625" t="str">
        <f t="shared" si="20"/>
        <v/>
      </c>
    </row>
    <row r="626" spans="4:4" x14ac:dyDescent="0.3">
      <c r="D626" t="str">
        <f t="shared" si="20"/>
        <v/>
      </c>
    </row>
    <row r="627" spans="4:4" x14ac:dyDescent="0.3">
      <c r="D627" t="str">
        <f t="shared" si="20"/>
        <v/>
      </c>
    </row>
    <row r="628" spans="4:4" x14ac:dyDescent="0.3">
      <c r="D628" t="str">
        <f t="shared" si="20"/>
        <v/>
      </c>
    </row>
    <row r="629" spans="4:4" x14ac:dyDescent="0.3">
      <c r="D629" t="str">
        <f t="shared" si="20"/>
        <v/>
      </c>
    </row>
    <row r="630" spans="4:4" x14ac:dyDescent="0.3">
      <c r="D630" t="str">
        <f t="shared" si="20"/>
        <v/>
      </c>
    </row>
    <row r="631" spans="4:4" x14ac:dyDescent="0.3">
      <c r="D631" t="str">
        <f t="shared" si="20"/>
        <v/>
      </c>
    </row>
    <row r="632" spans="4:4" x14ac:dyDescent="0.3">
      <c r="D632" t="str">
        <f t="shared" si="20"/>
        <v/>
      </c>
    </row>
    <row r="633" spans="4:4" x14ac:dyDescent="0.3">
      <c r="D633" t="str">
        <f t="shared" si="20"/>
        <v/>
      </c>
    </row>
    <row r="634" spans="4:4" x14ac:dyDescent="0.3">
      <c r="D634" t="str">
        <f t="shared" si="20"/>
        <v/>
      </c>
    </row>
    <row r="635" spans="4:4" x14ac:dyDescent="0.3">
      <c r="D635" t="str">
        <f t="shared" si="20"/>
        <v/>
      </c>
    </row>
    <row r="636" spans="4:4" x14ac:dyDescent="0.3">
      <c r="D636" t="str">
        <f t="shared" si="20"/>
        <v/>
      </c>
    </row>
    <row r="637" spans="4:4" x14ac:dyDescent="0.3">
      <c r="D637" t="str">
        <f t="shared" si="20"/>
        <v/>
      </c>
    </row>
    <row r="638" spans="4:4" x14ac:dyDescent="0.3">
      <c r="D638" t="str">
        <f t="shared" si="20"/>
        <v/>
      </c>
    </row>
    <row r="639" spans="4:4" x14ac:dyDescent="0.3">
      <c r="D639" t="str">
        <f t="shared" si="20"/>
        <v/>
      </c>
    </row>
    <row r="640" spans="4:4" x14ac:dyDescent="0.3">
      <c r="D640" t="str">
        <f t="shared" si="20"/>
        <v/>
      </c>
    </row>
    <row r="641" spans="4:4" x14ac:dyDescent="0.3">
      <c r="D641" t="str">
        <f t="shared" si="20"/>
        <v/>
      </c>
    </row>
    <row r="642" spans="4:4" x14ac:dyDescent="0.3">
      <c r="D642" t="str">
        <f t="shared" si="20"/>
        <v/>
      </c>
    </row>
    <row r="643" spans="4:4" x14ac:dyDescent="0.3">
      <c r="D643" t="str">
        <f t="shared" si="20"/>
        <v/>
      </c>
    </row>
    <row r="644" spans="4:4" x14ac:dyDescent="0.3">
      <c r="D644" t="str">
        <f t="shared" si="20"/>
        <v/>
      </c>
    </row>
    <row r="645" spans="4:4" x14ac:dyDescent="0.3">
      <c r="D645" t="str">
        <f t="shared" si="20"/>
        <v/>
      </c>
    </row>
    <row r="646" spans="4:4" x14ac:dyDescent="0.3">
      <c r="D646" t="str">
        <f t="shared" si="20"/>
        <v/>
      </c>
    </row>
    <row r="647" spans="4:4" x14ac:dyDescent="0.3">
      <c r="D647" t="str">
        <f t="shared" si="20"/>
        <v/>
      </c>
    </row>
    <row r="648" spans="4:4" x14ac:dyDescent="0.3">
      <c r="D648" t="str">
        <f t="shared" si="20"/>
        <v/>
      </c>
    </row>
    <row r="649" spans="4:4" x14ac:dyDescent="0.3">
      <c r="D649" t="str">
        <f t="shared" si="20"/>
        <v/>
      </c>
    </row>
    <row r="650" spans="4:4" x14ac:dyDescent="0.3">
      <c r="D650" t="str">
        <f t="shared" si="20"/>
        <v/>
      </c>
    </row>
    <row r="651" spans="4:4" x14ac:dyDescent="0.3">
      <c r="D651" t="str">
        <f t="shared" si="20"/>
        <v/>
      </c>
    </row>
    <row r="652" spans="4:4" x14ac:dyDescent="0.3">
      <c r="D652" t="str">
        <f t="shared" si="20"/>
        <v/>
      </c>
    </row>
    <row r="653" spans="4:4" x14ac:dyDescent="0.3">
      <c r="D653" t="str">
        <f t="shared" si="20"/>
        <v/>
      </c>
    </row>
    <row r="654" spans="4:4" x14ac:dyDescent="0.3">
      <c r="D654" t="str">
        <f t="shared" si="20"/>
        <v/>
      </c>
    </row>
    <row r="655" spans="4:4" x14ac:dyDescent="0.3">
      <c r="D655" t="str">
        <f t="shared" si="20"/>
        <v/>
      </c>
    </row>
    <row r="656" spans="4:4" x14ac:dyDescent="0.3">
      <c r="D656" t="str">
        <f t="shared" si="20"/>
        <v/>
      </c>
    </row>
    <row r="657" spans="4:4" x14ac:dyDescent="0.3">
      <c r="D657" t="str">
        <f t="shared" si="20"/>
        <v/>
      </c>
    </row>
    <row r="658" spans="4:4" x14ac:dyDescent="0.3">
      <c r="D658" t="str">
        <f t="shared" si="20"/>
        <v/>
      </c>
    </row>
    <row r="659" spans="4:4" x14ac:dyDescent="0.3">
      <c r="D659" t="str">
        <f t="shared" si="20"/>
        <v/>
      </c>
    </row>
    <row r="660" spans="4:4" x14ac:dyDescent="0.3">
      <c r="D660" t="str">
        <f t="shared" si="20"/>
        <v/>
      </c>
    </row>
    <row r="661" spans="4:4" x14ac:dyDescent="0.3">
      <c r="D661" t="str">
        <f t="shared" si="20"/>
        <v/>
      </c>
    </row>
    <row r="662" spans="4:4" x14ac:dyDescent="0.3">
      <c r="D662" t="str">
        <f t="shared" si="20"/>
        <v/>
      </c>
    </row>
    <row r="663" spans="4:4" x14ac:dyDescent="0.3">
      <c r="D663" t="str">
        <f t="shared" si="20"/>
        <v/>
      </c>
    </row>
    <row r="664" spans="4:4" x14ac:dyDescent="0.3">
      <c r="D664" t="str">
        <f t="shared" si="20"/>
        <v/>
      </c>
    </row>
    <row r="665" spans="4:4" x14ac:dyDescent="0.3">
      <c r="D665" t="str">
        <f t="shared" si="20"/>
        <v/>
      </c>
    </row>
    <row r="666" spans="4:4" x14ac:dyDescent="0.3">
      <c r="D666" t="str">
        <f t="shared" si="20"/>
        <v/>
      </c>
    </row>
    <row r="667" spans="4:4" x14ac:dyDescent="0.3">
      <c r="D667" t="str">
        <f t="shared" si="20"/>
        <v/>
      </c>
    </row>
    <row r="668" spans="4:4" x14ac:dyDescent="0.3">
      <c r="D668" t="str">
        <f t="shared" si="20"/>
        <v/>
      </c>
    </row>
    <row r="669" spans="4:4" x14ac:dyDescent="0.3">
      <c r="D669" t="str">
        <f t="shared" si="20"/>
        <v/>
      </c>
    </row>
    <row r="670" spans="4:4" x14ac:dyDescent="0.3">
      <c r="D670" t="str">
        <f t="shared" si="20"/>
        <v/>
      </c>
    </row>
    <row r="671" spans="4:4" x14ac:dyDescent="0.3">
      <c r="D671" t="str">
        <f t="shared" si="20"/>
        <v/>
      </c>
    </row>
    <row r="672" spans="4:4" x14ac:dyDescent="0.3">
      <c r="D672" t="str">
        <f t="shared" si="20"/>
        <v/>
      </c>
    </row>
    <row r="673" spans="4:4" x14ac:dyDescent="0.3">
      <c r="D673" t="str">
        <f t="shared" si="20"/>
        <v/>
      </c>
    </row>
    <row r="674" spans="4:4" x14ac:dyDescent="0.3">
      <c r="D674" t="str">
        <f t="shared" si="20"/>
        <v/>
      </c>
    </row>
    <row r="675" spans="4:4" x14ac:dyDescent="0.3">
      <c r="D675" t="str">
        <f t="shared" si="20"/>
        <v/>
      </c>
    </row>
    <row r="676" spans="4:4" x14ac:dyDescent="0.3">
      <c r="D676" t="str">
        <f t="shared" si="20"/>
        <v/>
      </c>
    </row>
    <row r="677" spans="4:4" x14ac:dyDescent="0.3">
      <c r="D677" t="str">
        <f t="shared" si="20"/>
        <v/>
      </c>
    </row>
    <row r="678" spans="4:4" x14ac:dyDescent="0.3">
      <c r="D678" t="str">
        <f t="shared" si="20"/>
        <v/>
      </c>
    </row>
    <row r="679" spans="4:4" x14ac:dyDescent="0.3">
      <c r="D679" t="str">
        <f t="shared" ref="D679:D742" si="21">IF(D678&lt;&gt;"",IF($B$29&gt;=D678+1,D678+1,""), "")</f>
        <v/>
      </c>
    </row>
    <row r="680" spans="4:4" x14ac:dyDescent="0.3">
      <c r="D680" t="str">
        <f t="shared" si="21"/>
        <v/>
      </c>
    </row>
    <row r="681" spans="4:4" x14ac:dyDescent="0.3">
      <c r="D681" t="str">
        <f t="shared" si="21"/>
        <v/>
      </c>
    </row>
    <row r="682" spans="4:4" x14ac:dyDescent="0.3">
      <c r="D682" t="str">
        <f t="shared" si="21"/>
        <v/>
      </c>
    </row>
    <row r="683" spans="4:4" x14ac:dyDescent="0.3">
      <c r="D683" t="str">
        <f t="shared" si="21"/>
        <v/>
      </c>
    </row>
    <row r="684" spans="4:4" x14ac:dyDescent="0.3">
      <c r="D684" t="str">
        <f t="shared" si="21"/>
        <v/>
      </c>
    </row>
    <row r="685" spans="4:4" x14ac:dyDescent="0.3">
      <c r="D685" t="str">
        <f t="shared" si="21"/>
        <v/>
      </c>
    </row>
    <row r="686" spans="4:4" x14ac:dyDescent="0.3">
      <c r="D686" t="str">
        <f t="shared" si="21"/>
        <v/>
      </c>
    </row>
    <row r="687" spans="4:4" x14ac:dyDescent="0.3">
      <c r="D687" t="str">
        <f t="shared" si="21"/>
        <v/>
      </c>
    </row>
    <row r="688" spans="4:4" x14ac:dyDescent="0.3">
      <c r="D688" t="str">
        <f t="shared" si="21"/>
        <v/>
      </c>
    </row>
    <row r="689" spans="4:4" x14ac:dyDescent="0.3">
      <c r="D689" t="str">
        <f t="shared" si="21"/>
        <v/>
      </c>
    </row>
    <row r="690" spans="4:4" x14ac:dyDescent="0.3">
      <c r="D690" t="str">
        <f t="shared" si="21"/>
        <v/>
      </c>
    </row>
    <row r="691" spans="4:4" x14ac:dyDescent="0.3">
      <c r="D691" t="str">
        <f t="shared" si="21"/>
        <v/>
      </c>
    </row>
    <row r="692" spans="4:4" x14ac:dyDescent="0.3">
      <c r="D692" t="str">
        <f t="shared" si="21"/>
        <v/>
      </c>
    </row>
    <row r="693" spans="4:4" x14ac:dyDescent="0.3">
      <c r="D693" t="str">
        <f t="shared" si="21"/>
        <v/>
      </c>
    </row>
    <row r="694" spans="4:4" x14ac:dyDescent="0.3">
      <c r="D694" t="str">
        <f t="shared" si="21"/>
        <v/>
      </c>
    </row>
    <row r="695" spans="4:4" x14ac:dyDescent="0.3">
      <c r="D695" t="str">
        <f t="shared" si="21"/>
        <v/>
      </c>
    </row>
    <row r="696" spans="4:4" x14ac:dyDescent="0.3">
      <c r="D696" t="str">
        <f t="shared" si="21"/>
        <v/>
      </c>
    </row>
    <row r="697" spans="4:4" x14ac:dyDescent="0.3">
      <c r="D697" t="str">
        <f t="shared" si="21"/>
        <v/>
      </c>
    </row>
    <row r="698" spans="4:4" x14ac:dyDescent="0.3">
      <c r="D698" t="str">
        <f t="shared" si="21"/>
        <v/>
      </c>
    </row>
    <row r="699" spans="4:4" x14ac:dyDescent="0.3">
      <c r="D699" t="str">
        <f t="shared" si="21"/>
        <v/>
      </c>
    </row>
    <row r="700" spans="4:4" x14ac:dyDescent="0.3">
      <c r="D700" t="str">
        <f t="shared" si="21"/>
        <v/>
      </c>
    </row>
    <row r="701" spans="4:4" x14ac:dyDescent="0.3">
      <c r="D701" t="str">
        <f t="shared" si="21"/>
        <v/>
      </c>
    </row>
    <row r="702" spans="4:4" x14ac:dyDescent="0.3">
      <c r="D702" t="str">
        <f t="shared" si="21"/>
        <v/>
      </c>
    </row>
    <row r="703" spans="4:4" x14ac:dyDescent="0.3">
      <c r="D703" t="str">
        <f t="shared" si="21"/>
        <v/>
      </c>
    </row>
    <row r="704" spans="4:4" x14ac:dyDescent="0.3">
      <c r="D704" t="str">
        <f t="shared" si="21"/>
        <v/>
      </c>
    </row>
    <row r="705" spans="4:4" x14ac:dyDescent="0.3">
      <c r="D705" t="str">
        <f t="shared" si="21"/>
        <v/>
      </c>
    </row>
    <row r="706" spans="4:4" x14ac:dyDescent="0.3">
      <c r="D706" t="str">
        <f t="shared" si="21"/>
        <v/>
      </c>
    </row>
    <row r="707" spans="4:4" x14ac:dyDescent="0.3">
      <c r="D707" t="str">
        <f t="shared" si="21"/>
        <v/>
      </c>
    </row>
    <row r="708" spans="4:4" x14ac:dyDescent="0.3">
      <c r="D708" t="str">
        <f t="shared" si="21"/>
        <v/>
      </c>
    </row>
    <row r="709" spans="4:4" x14ac:dyDescent="0.3">
      <c r="D709" t="str">
        <f t="shared" si="21"/>
        <v/>
      </c>
    </row>
    <row r="710" spans="4:4" x14ac:dyDescent="0.3">
      <c r="D710" t="str">
        <f t="shared" si="21"/>
        <v/>
      </c>
    </row>
    <row r="711" spans="4:4" x14ac:dyDescent="0.3">
      <c r="D711" t="str">
        <f t="shared" si="21"/>
        <v/>
      </c>
    </row>
    <row r="712" spans="4:4" x14ac:dyDescent="0.3">
      <c r="D712" t="str">
        <f t="shared" si="21"/>
        <v/>
      </c>
    </row>
    <row r="713" spans="4:4" x14ac:dyDescent="0.3">
      <c r="D713" t="str">
        <f t="shared" si="21"/>
        <v/>
      </c>
    </row>
    <row r="714" spans="4:4" x14ac:dyDescent="0.3">
      <c r="D714" t="str">
        <f t="shared" si="21"/>
        <v/>
      </c>
    </row>
    <row r="715" spans="4:4" x14ac:dyDescent="0.3">
      <c r="D715" t="str">
        <f t="shared" si="21"/>
        <v/>
      </c>
    </row>
    <row r="716" spans="4:4" x14ac:dyDescent="0.3">
      <c r="D716" t="str">
        <f t="shared" si="21"/>
        <v/>
      </c>
    </row>
    <row r="717" spans="4:4" x14ac:dyDescent="0.3">
      <c r="D717" t="str">
        <f t="shared" si="21"/>
        <v/>
      </c>
    </row>
    <row r="718" spans="4:4" x14ac:dyDescent="0.3">
      <c r="D718" t="str">
        <f t="shared" si="21"/>
        <v/>
      </c>
    </row>
    <row r="719" spans="4:4" x14ac:dyDescent="0.3">
      <c r="D719" t="str">
        <f t="shared" si="21"/>
        <v/>
      </c>
    </row>
    <row r="720" spans="4:4" x14ac:dyDescent="0.3">
      <c r="D720" t="str">
        <f t="shared" si="21"/>
        <v/>
      </c>
    </row>
    <row r="721" spans="4:4" x14ac:dyDescent="0.3">
      <c r="D721" t="str">
        <f t="shared" si="21"/>
        <v/>
      </c>
    </row>
    <row r="722" spans="4:4" x14ac:dyDescent="0.3">
      <c r="D722" t="str">
        <f t="shared" si="21"/>
        <v/>
      </c>
    </row>
    <row r="723" spans="4:4" x14ac:dyDescent="0.3">
      <c r="D723" t="str">
        <f t="shared" si="21"/>
        <v/>
      </c>
    </row>
    <row r="724" spans="4:4" x14ac:dyDescent="0.3">
      <c r="D724" t="str">
        <f t="shared" si="21"/>
        <v/>
      </c>
    </row>
    <row r="725" spans="4:4" x14ac:dyDescent="0.3">
      <c r="D725" t="str">
        <f t="shared" si="21"/>
        <v/>
      </c>
    </row>
    <row r="726" spans="4:4" x14ac:dyDescent="0.3">
      <c r="D726" t="str">
        <f t="shared" si="21"/>
        <v/>
      </c>
    </row>
    <row r="727" spans="4:4" x14ac:dyDescent="0.3">
      <c r="D727" t="str">
        <f t="shared" si="21"/>
        <v/>
      </c>
    </row>
    <row r="728" spans="4:4" x14ac:dyDescent="0.3">
      <c r="D728" t="str">
        <f t="shared" si="21"/>
        <v/>
      </c>
    </row>
    <row r="729" spans="4:4" x14ac:dyDescent="0.3">
      <c r="D729" t="str">
        <f t="shared" si="21"/>
        <v/>
      </c>
    </row>
    <row r="730" spans="4:4" x14ac:dyDescent="0.3">
      <c r="D730" t="str">
        <f t="shared" si="21"/>
        <v/>
      </c>
    </row>
    <row r="731" spans="4:4" x14ac:dyDescent="0.3">
      <c r="D731" t="str">
        <f t="shared" si="21"/>
        <v/>
      </c>
    </row>
    <row r="732" spans="4:4" x14ac:dyDescent="0.3">
      <c r="D732" t="str">
        <f t="shared" si="21"/>
        <v/>
      </c>
    </row>
    <row r="733" spans="4:4" x14ac:dyDescent="0.3">
      <c r="D733" t="str">
        <f t="shared" si="21"/>
        <v/>
      </c>
    </row>
    <row r="734" spans="4:4" x14ac:dyDescent="0.3">
      <c r="D734" t="str">
        <f t="shared" si="21"/>
        <v/>
      </c>
    </row>
    <row r="735" spans="4:4" x14ac:dyDescent="0.3">
      <c r="D735" t="str">
        <f t="shared" si="21"/>
        <v/>
      </c>
    </row>
    <row r="736" spans="4:4" x14ac:dyDescent="0.3">
      <c r="D736" t="str">
        <f t="shared" si="21"/>
        <v/>
      </c>
    </row>
    <row r="737" spans="4:4" x14ac:dyDescent="0.3">
      <c r="D737" t="str">
        <f t="shared" si="21"/>
        <v/>
      </c>
    </row>
    <row r="738" spans="4:4" x14ac:dyDescent="0.3">
      <c r="D738" t="str">
        <f t="shared" si="21"/>
        <v/>
      </c>
    </row>
    <row r="739" spans="4:4" x14ac:dyDescent="0.3">
      <c r="D739" t="str">
        <f t="shared" si="21"/>
        <v/>
      </c>
    </row>
    <row r="740" spans="4:4" x14ac:dyDescent="0.3">
      <c r="D740" t="str">
        <f t="shared" si="21"/>
        <v/>
      </c>
    </row>
    <row r="741" spans="4:4" x14ac:dyDescent="0.3">
      <c r="D741" t="str">
        <f t="shared" si="21"/>
        <v/>
      </c>
    </row>
    <row r="742" spans="4:4" x14ac:dyDescent="0.3">
      <c r="D742" t="str">
        <f t="shared" si="21"/>
        <v/>
      </c>
    </row>
    <row r="743" spans="4:4" x14ac:dyDescent="0.3">
      <c r="D743" t="str">
        <f t="shared" ref="D743:D806" si="22">IF(D742&lt;&gt;"",IF($B$29&gt;=D742+1,D742+1,""), "")</f>
        <v/>
      </c>
    </row>
    <row r="744" spans="4:4" x14ac:dyDescent="0.3">
      <c r="D744" t="str">
        <f t="shared" si="22"/>
        <v/>
      </c>
    </row>
    <row r="745" spans="4:4" x14ac:dyDescent="0.3">
      <c r="D745" t="str">
        <f t="shared" si="22"/>
        <v/>
      </c>
    </row>
    <row r="746" spans="4:4" x14ac:dyDescent="0.3">
      <c r="D746" t="str">
        <f t="shared" si="22"/>
        <v/>
      </c>
    </row>
    <row r="747" spans="4:4" x14ac:dyDescent="0.3">
      <c r="D747" t="str">
        <f t="shared" si="22"/>
        <v/>
      </c>
    </row>
    <row r="748" spans="4:4" x14ac:dyDescent="0.3">
      <c r="D748" t="str">
        <f t="shared" si="22"/>
        <v/>
      </c>
    </row>
    <row r="749" spans="4:4" x14ac:dyDescent="0.3">
      <c r="D749" t="str">
        <f t="shared" si="22"/>
        <v/>
      </c>
    </row>
    <row r="750" spans="4:4" x14ac:dyDescent="0.3">
      <c r="D750" t="str">
        <f t="shared" si="22"/>
        <v/>
      </c>
    </row>
    <row r="751" spans="4:4" x14ac:dyDescent="0.3">
      <c r="D751" t="str">
        <f t="shared" si="22"/>
        <v/>
      </c>
    </row>
    <row r="752" spans="4:4" x14ac:dyDescent="0.3">
      <c r="D752" t="str">
        <f t="shared" si="22"/>
        <v/>
      </c>
    </row>
    <row r="753" spans="4:4" x14ac:dyDescent="0.3">
      <c r="D753" t="str">
        <f t="shared" si="22"/>
        <v/>
      </c>
    </row>
    <row r="754" spans="4:4" x14ac:dyDescent="0.3">
      <c r="D754" t="str">
        <f t="shared" si="22"/>
        <v/>
      </c>
    </row>
    <row r="755" spans="4:4" x14ac:dyDescent="0.3">
      <c r="D755" t="str">
        <f t="shared" si="22"/>
        <v/>
      </c>
    </row>
    <row r="756" spans="4:4" x14ac:dyDescent="0.3">
      <c r="D756" t="str">
        <f t="shared" si="22"/>
        <v/>
      </c>
    </row>
    <row r="757" spans="4:4" x14ac:dyDescent="0.3">
      <c r="D757" t="str">
        <f t="shared" si="22"/>
        <v/>
      </c>
    </row>
    <row r="758" spans="4:4" x14ac:dyDescent="0.3">
      <c r="D758" t="str">
        <f t="shared" si="22"/>
        <v/>
      </c>
    </row>
    <row r="759" spans="4:4" x14ac:dyDescent="0.3">
      <c r="D759" t="str">
        <f t="shared" si="22"/>
        <v/>
      </c>
    </row>
    <row r="760" spans="4:4" x14ac:dyDescent="0.3">
      <c r="D760" t="str">
        <f t="shared" si="22"/>
        <v/>
      </c>
    </row>
    <row r="761" spans="4:4" x14ac:dyDescent="0.3">
      <c r="D761" t="str">
        <f t="shared" si="22"/>
        <v/>
      </c>
    </row>
    <row r="762" spans="4:4" x14ac:dyDescent="0.3">
      <c r="D762" t="str">
        <f t="shared" si="22"/>
        <v/>
      </c>
    </row>
    <row r="763" spans="4:4" x14ac:dyDescent="0.3">
      <c r="D763" t="str">
        <f t="shared" si="22"/>
        <v/>
      </c>
    </row>
    <row r="764" spans="4:4" x14ac:dyDescent="0.3">
      <c r="D764" t="str">
        <f t="shared" si="22"/>
        <v/>
      </c>
    </row>
    <row r="765" spans="4:4" x14ac:dyDescent="0.3">
      <c r="D765" t="str">
        <f t="shared" si="22"/>
        <v/>
      </c>
    </row>
    <row r="766" spans="4:4" x14ac:dyDescent="0.3">
      <c r="D766" t="str">
        <f t="shared" si="22"/>
        <v/>
      </c>
    </row>
    <row r="767" spans="4:4" x14ac:dyDescent="0.3">
      <c r="D767" t="str">
        <f t="shared" si="22"/>
        <v/>
      </c>
    </row>
    <row r="768" spans="4:4" x14ac:dyDescent="0.3">
      <c r="D768" t="str">
        <f t="shared" si="22"/>
        <v/>
      </c>
    </row>
    <row r="769" spans="4:4" x14ac:dyDescent="0.3">
      <c r="D769" t="str">
        <f t="shared" si="22"/>
        <v/>
      </c>
    </row>
    <row r="770" spans="4:4" x14ac:dyDescent="0.3">
      <c r="D770" t="str">
        <f t="shared" si="22"/>
        <v/>
      </c>
    </row>
    <row r="771" spans="4:4" x14ac:dyDescent="0.3">
      <c r="D771" t="str">
        <f t="shared" si="22"/>
        <v/>
      </c>
    </row>
    <row r="772" spans="4:4" x14ac:dyDescent="0.3">
      <c r="D772" t="str">
        <f t="shared" si="22"/>
        <v/>
      </c>
    </row>
    <row r="773" spans="4:4" x14ac:dyDescent="0.3">
      <c r="D773" t="str">
        <f t="shared" si="22"/>
        <v/>
      </c>
    </row>
    <row r="774" spans="4:4" x14ac:dyDescent="0.3">
      <c r="D774" t="str">
        <f t="shared" si="22"/>
        <v/>
      </c>
    </row>
    <row r="775" spans="4:4" x14ac:dyDescent="0.3">
      <c r="D775" t="str">
        <f t="shared" si="22"/>
        <v/>
      </c>
    </row>
    <row r="776" spans="4:4" x14ac:dyDescent="0.3">
      <c r="D776" t="str">
        <f t="shared" si="22"/>
        <v/>
      </c>
    </row>
    <row r="777" spans="4:4" x14ac:dyDescent="0.3">
      <c r="D777" t="str">
        <f t="shared" si="22"/>
        <v/>
      </c>
    </row>
    <row r="778" spans="4:4" x14ac:dyDescent="0.3">
      <c r="D778" t="str">
        <f t="shared" si="22"/>
        <v/>
      </c>
    </row>
    <row r="779" spans="4:4" x14ac:dyDescent="0.3">
      <c r="D779" t="str">
        <f t="shared" si="22"/>
        <v/>
      </c>
    </row>
    <row r="780" spans="4:4" x14ac:dyDescent="0.3">
      <c r="D780" t="str">
        <f t="shared" si="22"/>
        <v/>
      </c>
    </row>
    <row r="781" spans="4:4" x14ac:dyDescent="0.3">
      <c r="D781" t="str">
        <f t="shared" si="22"/>
        <v/>
      </c>
    </row>
    <row r="782" spans="4:4" x14ac:dyDescent="0.3">
      <c r="D782" t="str">
        <f t="shared" si="22"/>
        <v/>
      </c>
    </row>
    <row r="783" spans="4:4" x14ac:dyDescent="0.3">
      <c r="D783" t="str">
        <f t="shared" si="22"/>
        <v/>
      </c>
    </row>
    <row r="784" spans="4:4" x14ac:dyDescent="0.3">
      <c r="D784" t="str">
        <f t="shared" si="22"/>
        <v/>
      </c>
    </row>
    <row r="785" spans="4:4" x14ac:dyDescent="0.3">
      <c r="D785" t="str">
        <f t="shared" si="22"/>
        <v/>
      </c>
    </row>
    <row r="786" spans="4:4" x14ac:dyDescent="0.3">
      <c r="D786" t="str">
        <f t="shared" si="22"/>
        <v/>
      </c>
    </row>
    <row r="787" spans="4:4" x14ac:dyDescent="0.3">
      <c r="D787" t="str">
        <f t="shared" si="22"/>
        <v/>
      </c>
    </row>
    <row r="788" spans="4:4" x14ac:dyDescent="0.3">
      <c r="D788" t="str">
        <f t="shared" si="22"/>
        <v/>
      </c>
    </row>
    <row r="789" spans="4:4" x14ac:dyDescent="0.3">
      <c r="D789" t="str">
        <f t="shared" si="22"/>
        <v/>
      </c>
    </row>
    <row r="790" spans="4:4" x14ac:dyDescent="0.3">
      <c r="D790" t="str">
        <f t="shared" si="22"/>
        <v/>
      </c>
    </row>
    <row r="791" spans="4:4" x14ac:dyDescent="0.3">
      <c r="D791" t="str">
        <f t="shared" si="22"/>
        <v/>
      </c>
    </row>
    <row r="792" spans="4:4" x14ac:dyDescent="0.3">
      <c r="D792" t="str">
        <f t="shared" si="22"/>
        <v/>
      </c>
    </row>
    <row r="793" spans="4:4" x14ac:dyDescent="0.3">
      <c r="D793" t="str">
        <f t="shared" si="22"/>
        <v/>
      </c>
    </row>
    <row r="794" spans="4:4" x14ac:dyDescent="0.3">
      <c r="D794" t="str">
        <f t="shared" si="22"/>
        <v/>
      </c>
    </row>
    <row r="795" spans="4:4" x14ac:dyDescent="0.3">
      <c r="D795" t="str">
        <f t="shared" si="22"/>
        <v/>
      </c>
    </row>
    <row r="796" spans="4:4" x14ac:dyDescent="0.3">
      <c r="D796" t="str">
        <f t="shared" si="22"/>
        <v/>
      </c>
    </row>
    <row r="797" spans="4:4" x14ac:dyDescent="0.3">
      <c r="D797" t="str">
        <f t="shared" si="22"/>
        <v/>
      </c>
    </row>
    <row r="798" spans="4:4" x14ac:dyDescent="0.3">
      <c r="D798" t="str">
        <f t="shared" si="22"/>
        <v/>
      </c>
    </row>
    <row r="799" spans="4:4" x14ac:dyDescent="0.3">
      <c r="D799" t="str">
        <f t="shared" si="22"/>
        <v/>
      </c>
    </row>
    <row r="800" spans="4:4" x14ac:dyDescent="0.3">
      <c r="D800" t="str">
        <f t="shared" si="22"/>
        <v/>
      </c>
    </row>
    <row r="801" spans="4:4" x14ac:dyDescent="0.3">
      <c r="D801" t="str">
        <f t="shared" si="22"/>
        <v/>
      </c>
    </row>
    <row r="802" spans="4:4" x14ac:dyDescent="0.3">
      <c r="D802" t="str">
        <f t="shared" si="22"/>
        <v/>
      </c>
    </row>
    <row r="803" spans="4:4" x14ac:dyDescent="0.3">
      <c r="D803" t="str">
        <f t="shared" si="22"/>
        <v/>
      </c>
    </row>
    <row r="804" spans="4:4" x14ac:dyDescent="0.3">
      <c r="D804" t="str">
        <f t="shared" si="22"/>
        <v/>
      </c>
    </row>
    <row r="805" spans="4:4" x14ac:dyDescent="0.3">
      <c r="D805" t="str">
        <f t="shared" si="22"/>
        <v/>
      </c>
    </row>
    <row r="806" spans="4:4" x14ac:dyDescent="0.3">
      <c r="D806" t="str">
        <f t="shared" si="22"/>
        <v/>
      </c>
    </row>
    <row r="807" spans="4:4" x14ac:dyDescent="0.3">
      <c r="D807" t="str">
        <f t="shared" ref="D807:D831" si="23">IF(D806&lt;&gt;"",IF($B$29&gt;=D806+1,D806+1,""), "")</f>
        <v/>
      </c>
    </row>
    <row r="808" spans="4:4" x14ac:dyDescent="0.3">
      <c r="D808" t="str">
        <f t="shared" si="23"/>
        <v/>
      </c>
    </row>
    <row r="809" spans="4:4" x14ac:dyDescent="0.3">
      <c r="D809" t="str">
        <f t="shared" si="23"/>
        <v/>
      </c>
    </row>
    <row r="810" spans="4:4" x14ac:dyDescent="0.3">
      <c r="D810" t="str">
        <f t="shared" si="23"/>
        <v/>
      </c>
    </row>
    <row r="811" spans="4:4" x14ac:dyDescent="0.3">
      <c r="D811" t="str">
        <f t="shared" si="23"/>
        <v/>
      </c>
    </row>
    <row r="812" spans="4:4" x14ac:dyDescent="0.3">
      <c r="D812" t="str">
        <f t="shared" si="23"/>
        <v/>
      </c>
    </row>
    <row r="813" spans="4:4" x14ac:dyDescent="0.3">
      <c r="D813" t="str">
        <f t="shared" si="23"/>
        <v/>
      </c>
    </row>
    <row r="814" spans="4:4" x14ac:dyDescent="0.3">
      <c r="D814" t="str">
        <f t="shared" si="23"/>
        <v/>
      </c>
    </row>
    <row r="815" spans="4:4" x14ac:dyDescent="0.3">
      <c r="D815" t="str">
        <f t="shared" si="23"/>
        <v/>
      </c>
    </row>
    <row r="816" spans="4:4" x14ac:dyDescent="0.3">
      <c r="D816" t="str">
        <f t="shared" si="23"/>
        <v/>
      </c>
    </row>
    <row r="817" spans="4:4" x14ac:dyDescent="0.3">
      <c r="D817" t="str">
        <f t="shared" si="23"/>
        <v/>
      </c>
    </row>
    <row r="818" spans="4:4" x14ac:dyDescent="0.3">
      <c r="D818" t="str">
        <f t="shared" si="23"/>
        <v/>
      </c>
    </row>
    <row r="819" spans="4:4" x14ac:dyDescent="0.3">
      <c r="D819" t="str">
        <f t="shared" si="23"/>
        <v/>
      </c>
    </row>
    <row r="820" spans="4:4" x14ac:dyDescent="0.3">
      <c r="D820" t="str">
        <f t="shared" si="23"/>
        <v/>
      </c>
    </row>
    <row r="821" spans="4:4" x14ac:dyDescent="0.3">
      <c r="D821" t="str">
        <f t="shared" si="23"/>
        <v/>
      </c>
    </row>
    <row r="822" spans="4:4" x14ac:dyDescent="0.3">
      <c r="D822" t="str">
        <f t="shared" si="23"/>
        <v/>
      </c>
    </row>
    <row r="823" spans="4:4" x14ac:dyDescent="0.3">
      <c r="D823" t="str">
        <f t="shared" si="23"/>
        <v/>
      </c>
    </row>
    <row r="824" spans="4:4" x14ac:dyDescent="0.3">
      <c r="D824" t="str">
        <f t="shared" si="23"/>
        <v/>
      </c>
    </row>
    <row r="825" spans="4:4" x14ac:dyDescent="0.3">
      <c r="D825" t="str">
        <f t="shared" si="23"/>
        <v/>
      </c>
    </row>
    <row r="826" spans="4:4" x14ac:dyDescent="0.3">
      <c r="D826" t="str">
        <f t="shared" si="23"/>
        <v/>
      </c>
    </row>
    <row r="827" spans="4:4" x14ac:dyDescent="0.3">
      <c r="D827" t="str">
        <f t="shared" si="23"/>
        <v/>
      </c>
    </row>
    <row r="828" spans="4:4" x14ac:dyDescent="0.3">
      <c r="D828" t="str">
        <f t="shared" si="23"/>
        <v/>
      </c>
    </row>
    <row r="829" spans="4:4" x14ac:dyDescent="0.3">
      <c r="D829" t="str">
        <f t="shared" si="23"/>
        <v/>
      </c>
    </row>
    <row r="830" spans="4:4" x14ac:dyDescent="0.3">
      <c r="D830" t="str">
        <f t="shared" si="23"/>
        <v/>
      </c>
    </row>
    <row r="831" spans="4:4" x14ac:dyDescent="0.3">
      <c r="D831" t="str">
        <f t="shared" si="23"/>
        <v/>
      </c>
    </row>
  </sheetData>
  <conditionalFormatting sqref="K18:P18">
    <cfRule type="expression" priority="1">
      <formula>MIN(K:K)</formula>
    </cfRule>
    <cfRule type="expression" priority="2">
      <formula>"min"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97977-8439-4C39-AD3A-BC1BE882C75C}">
  <sheetPr codeName="Лист4"/>
  <dimension ref="A1:P33"/>
  <sheetViews>
    <sheetView zoomScale="70" zoomScaleNormal="70" workbookViewId="0">
      <selection activeCell="H14" sqref="H14"/>
    </sheetView>
  </sheetViews>
  <sheetFormatPr defaultRowHeight="14.4" x14ac:dyDescent="0.3"/>
  <cols>
    <col min="1" max="1" width="43.33203125" customWidth="1"/>
    <col min="2" max="2" width="38.88671875" customWidth="1"/>
    <col min="6" max="6" width="13.6640625" customWidth="1"/>
    <col min="7" max="7" width="21" customWidth="1"/>
    <col min="8" max="8" width="27" customWidth="1"/>
    <col min="9" max="9" width="26.5546875" customWidth="1"/>
    <col min="10" max="11" width="23.109375" customWidth="1"/>
    <col min="12" max="12" width="35.88671875" customWidth="1"/>
    <col min="13" max="13" width="29.21875" customWidth="1"/>
    <col min="14" max="14" width="34.109375" customWidth="1"/>
    <col min="15" max="15" width="12.33203125" customWidth="1"/>
    <col min="16" max="16" width="37.33203125" customWidth="1"/>
  </cols>
  <sheetData>
    <row r="1" spans="1:16" x14ac:dyDescent="0.3">
      <c r="A1" t="s">
        <v>60</v>
      </c>
      <c r="B1">
        <v>5000</v>
      </c>
    </row>
    <row r="2" spans="1:16" x14ac:dyDescent="0.3">
      <c r="A2" t="s">
        <v>54</v>
      </c>
      <c r="B2">
        <v>12</v>
      </c>
    </row>
    <row r="3" spans="1:16" ht="42" customHeight="1" x14ac:dyDescent="0.3">
      <c r="A3" t="s">
        <v>55</v>
      </c>
      <c r="B3">
        <v>22.8</v>
      </c>
      <c r="E3" s="28" t="s">
        <v>55</v>
      </c>
      <c r="F3" s="12" t="s">
        <v>10</v>
      </c>
      <c r="G3" s="28" t="s">
        <v>54</v>
      </c>
      <c r="H3" s="28" t="s">
        <v>83</v>
      </c>
      <c r="I3" s="28" t="s">
        <v>84</v>
      </c>
      <c r="J3" s="25" t="s">
        <v>85</v>
      </c>
      <c r="K3" s="28" t="s">
        <v>91</v>
      </c>
      <c r="L3" s="25" t="s">
        <v>88</v>
      </c>
      <c r="M3" s="25" t="s">
        <v>87</v>
      </c>
      <c r="N3" s="25" t="s">
        <v>89</v>
      </c>
      <c r="O3" s="28" t="s">
        <v>90</v>
      </c>
      <c r="P3" s="28" t="s">
        <v>86</v>
      </c>
    </row>
    <row r="4" spans="1:16" x14ac:dyDescent="0.3">
      <c r="A4" t="s">
        <v>69</v>
      </c>
      <c r="B4" t="s">
        <v>70</v>
      </c>
      <c r="E4">
        <v>1</v>
      </c>
      <c r="F4">
        <f>3.14*E4^2</f>
        <v>3.14</v>
      </c>
      <c r="G4">
        <f>$B$1/F4</f>
        <v>1592.3566878980891</v>
      </c>
      <c r="H4" s="17">
        <f>нижняяТолщина($B$1,G4,E4)</f>
        <v>7.4999999999999997E-2</v>
      </c>
      <c r="I4" s="17">
        <f>ВерхняяТолщина($B$1,G4,E4)</f>
        <v>4.0000000000000001E-3</v>
      </c>
      <c r="J4">
        <f>2*3.14*E4*1.5*(G4/1.5)</f>
        <v>10000</v>
      </c>
      <c r="K4">
        <f>F4*2+J4</f>
        <v>10006.280000000001</v>
      </c>
      <c r="L4">
        <f>ВесСтали($B$1,G4,E4)</f>
        <v>2481383</v>
      </c>
      <c r="M4">
        <f>(7500*F4*H4)</f>
        <v>1766.25</v>
      </c>
      <c r="N4">
        <f>7500*F4*0.004</f>
        <v>94.2</v>
      </c>
      <c r="O4">
        <f>L4+M4+N4</f>
        <v>2483243.4500000002</v>
      </c>
      <c r="P4" s="19">
        <f>O4/1000*70000</f>
        <v>173827041.50000003</v>
      </c>
    </row>
    <row r="5" spans="1:16" x14ac:dyDescent="0.3">
      <c r="E5">
        <v>2</v>
      </c>
      <c r="F5">
        <f t="shared" ref="F5:F33" si="0">3.14*E5^2</f>
        <v>12.56</v>
      </c>
      <c r="G5">
        <f t="shared" ref="G5:G16" si="1">$B$1/F5</f>
        <v>398.08917197452229</v>
      </c>
      <c r="H5" s="17">
        <f t="shared" ref="H5:H27" si="2">нижняяТолщина($B$1,G5,E5)</f>
        <v>3.7999999999999999E-2</v>
      </c>
      <c r="I5" s="17">
        <f t="shared" ref="I5:I23" si="3">ВерхняяТолщина($B$1,G5,E5)</f>
        <v>4.0000000000000001E-3</v>
      </c>
      <c r="J5">
        <f>2*3.14*E5*1.5*(G5/1.5)</f>
        <v>5000</v>
      </c>
      <c r="K5">
        <f t="shared" ref="K5:K33" si="4">F5*2+J5</f>
        <v>5025.12</v>
      </c>
      <c r="L5">
        <f t="shared" ref="L5:L33" si="5">ВесСтали($B$1,G5,E5)</f>
        <v>636828</v>
      </c>
      <c r="M5">
        <f>(7500*F5*H5)</f>
        <v>3579.6</v>
      </c>
      <c r="N5">
        <f>7500*F5*0.004</f>
        <v>376.8</v>
      </c>
      <c r="O5">
        <f>L5+M5+N5</f>
        <v>640784.4</v>
      </c>
      <c r="P5" s="19">
        <f t="shared" ref="P5:P33" si="6">O5/1000*70000</f>
        <v>44854908</v>
      </c>
    </row>
    <row r="6" spans="1:16" x14ac:dyDescent="0.3">
      <c r="A6" s="22" t="s">
        <v>59</v>
      </c>
      <c r="E6">
        <v>3</v>
      </c>
      <c r="F6">
        <f t="shared" si="0"/>
        <v>28.26</v>
      </c>
      <c r="G6">
        <f t="shared" si="1"/>
        <v>176.92852087756546</v>
      </c>
      <c r="H6" s="17">
        <f t="shared" si="2"/>
        <v>2.5000000000000001E-2</v>
      </c>
      <c r="I6" s="17">
        <f t="shared" si="3"/>
        <v>4.0000000000000001E-3</v>
      </c>
      <c r="J6">
        <f>2*3.14*E6*1.5*(G6/1.5)</f>
        <v>3333.333333333333</v>
      </c>
      <c r="K6">
        <f t="shared" si="4"/>
        <v>3389.853333333333</v>
      </c>
      <c r="L6">
        <f t="shared" si="5"/>
        <v>292496</v>
      </c>
      <c r="M6">
        <f>(7500*F6*H6)</f>
        <v>5298.75</v>
      </c>
      <c r="N6">
        <f>7500*F6*0.004</f>
        <v>847.80000000000007</v>
      </c>
      <c r="O6">
        <f>L6+M6+N6</f>
        <v>298642.55</v>
      </c>
      <c r="P6" s="19">
        <f t="shared" si="6"/>
        <v>20904978.499999996</v>
      </c>
    </row>
    <row r="7" spans="1:16" x14ac:dyDescent="0.3">
      <c r="A7" t="s">
        <v>57</v>
      </c>
      <c r="B7">
        <v>0.8</v>
      </c>
      <c r="E7">
        <v>4</v>
      </c>
      <c r="F7">
        <f t="shared" si="0"/>
        <v>50.24</v>
      </c>
      <c r="G7">
        <f t="shared" si="1"/>
        <v>99.522292993630572</v>
      </c>
      <c r="H7" s="17">
        <f t="shared" si="2"/>
        <v>1.9E-2</v>
      </c>
      <c r="I7" s="17">
        <f t="shared" si="3"/>
        <v>4.0000000000000001E-3</v>
      </c>
      <c r="J7">
        <f>2*3.14*E7*1.5*(G7/1.5)</f>
        <v>2500</v>
      </c>
      <c r="K7">
        <f t="shared" si="4"/>
        <v>2600.48</v>
      </c>
      <c r="L7">
        <f t="shared" si="5"/>
        <v>170403</v>
      </c>
      <c r="M7">
        <f>(7500*F7*H7)</f>
        <v>7159.2</v>
      </c>
      <c r="N7">
        <f>7500*F7*0.004</f>
        <v>1507.2</v>
      </c>
      <c r="O7">
        <f>L7+M7+N7</f>
        <v>179069.40000000002</v>
      </c>
      <c r="P7" s="19">
        <f t="shared" si="6"/>
        <v>12534858.000000002</v>
      </c>
    </row>
    <row r="8" spans="1:16" x14ac:dyDescent="0.3">
      <c r="A8" t="s">
        <v>72</v>
      </c>
      <c r="B8">
        <v>9.81</v>
      </c>
      <c r="E8">
        <v>5</v>
      </c>
      <c r="F8">
        <f t="shared" si="0"/>
        <v>78.5</v>
      </c>
      <c r="G8">
        <f t="shared" si="1"/>
        <v>63.694267515923563</v>
      </c>
      <c r="H8" s="17">
        <f t="shared" si="2"/>
        <v>1.4999999999999999E-2</v>
      </c>
      <c r="I8" s="17">
        <f t="shared" si="3"/>
        <v>4.0000000000000001E-3</v>
      </c>
      <c r="J8">
        <f>2*3.14*E8*1.5*(G8/1.5)</f>
        <v>2000</v>
      </c>
      <c r="K8">
        <f t="shared" si="4"/>
        <v>2157</v>
      </c>
      <c r="L8">
        <f t="shared" si="5"/>
        <v>113746</v>
      </c>
      <c r="M8">
        <f>(7500*F8*H8)</f>
        <v>8831.25</v>
      </c>
      <c r="N8">
        <f>7500*F8*0.004</f>
        <v>2355</v>
      </c>
      <c r="O8">
        <f>L8+M8+N8</f>
        <v>124932.25</v>
      </c>
      <c r="P8" s="19">
        <f t="shared" si="6"/>
        <v>8745257.5</v>
      </c>
    </row>
    <row r="9" spans="1:16" x14ac:dyDescent="0.3">
      <c r="A9" s="25" t="s">
        <v>67</v>
      </c>
      <c r="B9">
        <v>1.1000000000000001</v>
      </c>
      <c r="E9">
        <v>6</v>
      </c>
      <c r="F9">
        <f t="shared" si="0"/>
        <v>113.04</v>
      </c>
      <c r="G9">
        <f t="shared" si="1"/>
        <v>44.232130219391365</v>
      </c>
      <c r="H9" s="17">
        <f t="shared" si="2"/>
        <v>1.3000000000000001E-2</v>
      </c>
      <c r="I9" s="17">
        <f t="shared" si="3"/>
        <v>4.0000000000000001E-3</v>
      </c>
      <c r="J9">
        <f>2*3.14*E9*1.5*(G9/1.5)</f>
        <v>1666.6666666666665</v>
      </c>
      <c r="K9">
        <f t="shared" si="4"/>
        <v>1892.7466666666664</v>
      </c>
      <c r="L9">
        <f t="shared" si="5"/>
        <v>82240</v>
      </c>
      <c r="M9">
        <f>(7500*F9*H9)</f>
        <v>11021.400000000001</v>
      </c>
      <c r="N9">
        <f>7500*F9*0.004</f>
        <v>3391.2000000000003</v>
      </c>
      <c r="O9">
        <f>L9+M9+N9</f>
        <v>96652.599999999991</v>
      </c>
      <c r="P9" s="19">
        <f t="shared" si="6"/>
        <v>6765681.9999999991</v>
      </c>
    </row>
    <row r="10" spans="1:16" x14ac:dyDescent="0.3">
      <c r="A10" s="25" t="s">
        <v>68</v>
      </c>
      <c r="B10">
        <v>1.2</v>
      </c>
      <c r="E10">
        <v>7</v>
      </c>
      <c r="F10">
        <f t="shared" si="0"/>
        <v>153.86000000000001</v>
      </c>
      <c r="G10">
        <f t="shared" si="1"/>
        <v>32.497075263226307</v>
      </c>
      <c r="H10" s="17">
        <f t="shared" si="2"/>
        <v>1.0999999999999999E-2</v>
      </c>
      <c r="I10" s="17">
        <f t="shared" si="3"/>
        <v>4.0000000000000001E-3</v>
      </c>
      <c r="J10">
        <f>2*3.14*E10*1.5*(G10/1.5)</f>
        <v>1428.5714285714284</v>
      </c>
      <c r="K10">
        <f t="shared" si="4"/>
        <v>1736.2914285714285</v>
      </c>
      <c r="L10">
        <f t="shared" si="5"/>
        <v>64289</v>
      </c>
      <c r="M10">
        <f>(7500*F10*H10)</f>
        <v>12693.449999999999</v>
      </c>
      <c r="N10">
        <f>7500*F10*0.004</f>
        <v>4615.8</v>
      </c>
      <c r="O10">
        <f>L10+M10+N10</f>
        <v>81598.25</v>
      </c>
      <c r="P10" s="19">
        <f t="shared" si="6"/>
        <v>5711877.4999999991</v>
      </c>
    </row>
    <row r="11" spans="1:16" x14ac:dyDescent="0.3">
      <c r="A11" t="s">
        <v>61</v>
      </c>
      <c r="B11">
        <v>1.0249999999999999</v>
      </c>
      <c r="E11">
        <v>8</v>
      </c>
      <c r="F11">
        <f t="shared" si="0"/>
        <v>200.96</v>
      </c>
      <c r="G11">
        <f t="shared" si="1"/>
        <v>24.880573248407643</v>
      </c>
      <c r="H11" s="17">
        <f t="shared" si="2"/>
        <v>9.9999999999999985E-3</v>
      </c>
      <c r="I11" s="17">
        <f t="shared" si="3"/>
        <v>4.0000000000000001E-3</v>
      </c>
      <c r="J11">
        <f>2*3.14*E11*1.5*(G11/1.5)</f>
        <v>1250</v>
      </c>
      <c r="K11">
        <f t="shared" si="4"/>
        <v>1651.92</v>
      </c>
      <c r="L11">
        <f t="shared" si="5"/>
        <v>53130</v>
      </c>
      <c r="M11">
        <f>(7500*F11*H11)</f>
        <v>15071.999999999998</v>
      </c>
      <c r="N11">
        <f>7500*F11*0.004</f>
        <v>6028.8</v>
      </c>
      <c r="O11">
        <f>L11+M11+N11</f>
        <v>74230.8</v>
      </c>
      <c r="P11" s="19">
        <f t="shared" si="6"/>
        <v>5196156</v>
      </c>
    </row>
    <row r="12" spans="1:16" x14ac:dyDescent="0.3">
      <c r="A12" t="s">
        <v>62</v>
      </c>
      <c r="B12" s="23">
        <f>IF(B1&lt;10000, 1.1, 1.15)</f>
        <v>1.1000000000000001</v>
      </c>
      <c r="E12">
        <v>9</v>
      </c>
      <c r="F12">
        <f t="shared" si="0"/>
        <v>254.34</v>
      </c>
      <c r="G12">
        <f t="shared" si="1"/>
        <v>19.658724541951717</v>
      </c>
      <c r="H12" s="17">
        <f t="shared" si="2"/>
        <v>9.0000000000000011E-3</v>
      </c>
      <c r="I12" s="17">
        <f t="shared" si="3"/>
        <v>4.0000000000000001E-3</v>
      </c>
      <c r="J12">
        <f>2*3.14*E12*1.5*(G12/1.5)</f>
        <v>1111.1111111111111</v>
      </c>
      <c r="K12">
        <f t="shared" si="4"/>
        <v>1619.7911111111111</v>
      </c>
      <c r="L12">
        <f t="shared" si="5"/>
        <v>43235</v>
      </c>
      <c r="M12">
        <f>(7500*F12*H12)</f>
        <v>17167.95</v>
      </c>
      <c r="N12">
        <f>7500*F12*0.004</f>
        <v>7630.2</v>
      </c>
      <c r="O12">
        <f>L12+M12+N12</f>
        <v>68033.149999999994</v>
      </c>
      <c r="P12" s="19">
        <f t="shared" si="6"/>
        <v>4762320.4999999991</v>
      </c>
    </row>
    <row r="13" spans="1:16" x14ac:dyDescent="0.3">
      <c r="A13" t="s">
        <v>66</v>
      </c>
      <c r="E13">
        <v>10</v>
      </c>
      <c r="F13">
        <f t="shared" si="0"/>
        <v>314</v>
      </c>
      <c r="G13">
        <f t="shared" si="1"/>
        <v>15.923566878980891</v>
      </c>
      <c r="H13" s="17">
        <f t="shared" si="2"/>
        <v>8.0000000000000002E-3</v>
      </c>
      <c r="I13" s="17">
        <f t="shared" si="3"/>
        <v>4.0000000000000001E-3</v>
      </c>
      <c r="J13">
        <f>2*3.14*E13*1.5*(G13/1.5)</f>
        <v>1000</v>
      </c>
      <c r="K13">
        <f t="shared" si="4"/>
        <v>1628</v>
      </c>
      <c r="L13">
        <f t="shared" si="5"/>
        <v>38150</v>
      </c>
      <c r="M13">
        <f>(7500*F13*H13)</f>
        <v>18840</v>
      </c>
      <c r="N13">
        <f>7500*F13*0.004</f>
        <v>9420</v>
      </c>
      <c r="O13">
        <f>L13+M13+N13</f>
        <v>66410</v>
      </c>
      <c r="P13" s="19">
        <f t="shared" si="6"/>
        <v>4648700</v>
      </c>
    </row>
    <row r="14" spans="1:16" x14ac:dyDescent="0.3">
      <c r="A14" t="s">
        <v>64</v>
      </c>
      <c r="B14">
        <v>0.7</v>
      </c>
      <c r="E14">
        <v>11</v>
      </c>
      <c r="F14">
        <f t="shared" si="0"/>
        <v>379.94</v>
      </c>
      <c r="G14">
        <f t="shared" si="1"/>
        <v>13.159972627256936</v>
      </c>
      <c r="H14" s="17">
        <f t="shared" si="2"/>
        <v>7.0000000000000001E-3</v>
      </c>
      <c r="I14" s="17">
        <f t="shared" si="3"/>
        <v>4.0000000000000001E-3</v>
      </c>
      <c r="J14">
        <f>2*3.14*E14*1.5*(G14/1.5)</f>
        <v>909.09090909090912</v>
      </c>
      <c r="K14">
        <f t="shared" si="4"/>
        <v>1668.9709090909091</v>
      </c>
      <c r="L14">
        <f t="shared" si="5"/>
        <v>32643</v>
      </c>
      <c r="M14">
        <f>(7500*F14*H14)</f>
        <v>19946.850000000002</v>
      </c>
      <c r="N14">
        <f>7500*F14*0.004</f>
        <v>11398.2</v>
      </c>
      <c r="O14">
        <f>L14+M14+N14</f>
        <v>63988.05</v>
      </c>
      <c r="P14" s="19">
        <f t="shared" si="6"/>
        <v>4479163.5</v>
      </c>
    </row>
    <row r="15" spans="1:16" x14ac:dyDescent="0.3">
      <c r="A15" t="s">
        <v>65</v>
      </c>
      <c r="B15">
        <v>0.8</v>
      </c>
      <c r="E15">
        <v>12</v>
      </c>
      <c r="F15">
        <f t="shared" si="0"/>
        <v>452.16</v>
      </c>
      <c r="G15">
        <f t="shared" si="1"/>
        <v>11.058032554847841</v>
      </c>
      <c r="H15" s="17">
        <f t="shared" si="2"/>
        <v>7.0000000000000001E-3</v>
      </c>
      <c r="I15" s="17">
        <f t="shared" si="3"/>
        <v>4.0000000000000001E-3</v>
      </c>
      <c r="J15">
        <f>2*3.14*E15*1.5*(G15/1.5)</f>
        <v>833.33333333333326</v>
      </c>
      <c r="K15">
        <f t="shared" si="4"/>
        <v>1737.6533333333332</v>
      </c>
      <c r="L15">
        <f t="shared" si="5"/>
        <v>27129</v>
      </c>
      <c r="M15">
        <f>(7500*F15*H15)</f>
        <v>23738.400000000001</v>
      </c>
      <c r="N15">
        <f>7500*F15*0.004</f>
        <v>13564.800000000001</v>
      </c>
      <c r="O15">
        <f>L15+M15+N15</f>
        <v>64432.200000000004</v>
      </c>
      <c r="P15" s="19">
        <f t="shared" si="6"/>
        <v>4510254.0000000009</v>
      </c>
    </row>
    <row r="16" spans="1:16" x14ac:dyDescent="0.3">
      <c r="A16" t="s">
        <v>71</v>
      </c>
      <c r="B16" s="23">
        <f>IF(B4="+", 2000,0)</f>
        <v>0</v>
      </c>
      <c r="E16">
        <v>13</v>
      </c>
      <c r="F16">
        <f t="shared" si="0"/>
        <v>530.66</v>
      </c>
      <c r="G16">
        <f t="shared" si="1"/>
        <v>9.4222289224739004</v>
      </c>
      <c r="H16" s="17">
        <f t="shared" si="2"/>
        <v>6.0000000000000001E-3</v>
      </c>
      <c r="I16" s="17">
        <f t="shared" si="3"/>
        <v>4.0000000000000001E-3</v>
      </c>
      <c r="J16">
        <f>2*3.14*E16*1.5*(G16/1.5)</f>
        <v>769.23076923076928</v>
      </c>
      <c r="K16">
        <f t="shared" si="4"/>
        <v>1830.5507692307692</v>
      </c>
      <c r="L16">
        <f t="shared" si="5"/>
        <v>24799</v>
      </c>
      <c r="M16">
        <f>(7500*F16*H16)</f>
        <v>23879.699999999997</v>
      </c>
      <c r="N16">
        <f>7500*F16*0.004</f>
        <v>15919.8</v>
      </c>
      <c r="O16">
        <f>L16+M16+N16</f>
        <v>64598.5</v>
      </c>
      <c r="P16" s="19">
        <f t="shared" si="6"/>
        <v>4521895</v>
      </c>
    </row>
    <row r="17" spans="1:16" x14ac:dyDescent="0.3">
      <c r="E17">
        <v>14</v>
      </c>
      <c r="F17">
        <f t="shared" si="0"/>
        <v>615.44000000000005</v>
      </c>
      <c r="G17">
        <f t="shared" ref="G17:G33" si="7">$B$1/F17</f>
        <v>8.1242688158065768</v>
      </c>
      <c r="H17" s="17">
        <f t="shared" si="2"/>
        <v>6.0000000000000001E-3</v>
      </c>
      <c r="I17" s="17">
        <f t="shared" si="3"/>
        <v>4.0000000000000001E-3</v>
      </c>
      <c r="J17">
        <f>2*3.14*E17*1.5*(G17/1.5)</f>
        <v>714.28571428571422</v>
      </c>
      <c r="K17">
        <f t="shared" si="4"/>
        <v>1945.1657142857143</v>
      </c>
      <c r="L17">
        <f t="shared" si="5"/>
        <v>21759</v>
      </c>
      <c r="M17">
        <f>(7500*F17*H17)</f>
        <v>27694.799999999999</v>
      </c>
      <c r="N17">
        <f>7500*F17*0.004</f>
        <v>18463.2</v>
      </c>
      <c r="O17">
        <f>L17+M17+N17</f>
        <v>67917</v>
      </c>
      <c r="P17" s="19">
        <f t="shared" si="6"/>
        <v>4754190</v>
      </c>
    </row>
    <row r="18" spans="1:16" x14ac:dyDescent="0.3">
      <c r="A18" s="22" t="s">
        <v>48</v>
      </c>
      <c r="E18">
        <v>15</v>
      </c>
      <c r="F18">
        <f t="shared" si="0"/>
        <v>706.5</v>
      </c>
      <c r="G18">
        <f t="shared" si="7"/>
        <v>7.0771408351026182</v>
      </c>
      <c r="H18" s="17">
        <f t="shared" si="2"/>
        <v>5.0000000000000001E-3</v>
      </c>
      <c r="I18" s="17">
        <f t="shared" si="3"/>
        <v>4.0000000000000001E-3</v>
      </c>
      <c r="J18">
        <f>2*3.14*E18*1.5*(G18/1.5)</f>
        <v>666.66666666666674</v>
      </c>
      <c r="K18">
        <f t="shared" si="4"/>
        <v>2079.666666666667</v>
      </c>
      <c r="L18">
        <f t="shared" si="5"/>
        <v>22255</v>
      </c>
      <c r="M18">
        <f>(7500*F18*H18)</f>
        <v>26493.75</v>
      </c>
      <c r="N18">
        <f>7500*F18*0.004</f>
        <v>21195</v>
      </c>
      <c r="O18">
        <f>L18+M18+N18</f>
        <v>69943.75</v>
      </c>
      <c r="P18" s="19">
        <f t="shared" si="6"/>
        <v>4896062.5</v>
      </c>
    </row>
    <row r="19" spans="1:16" x14ac:dyDescent="0.3">
      <c r="A19" t="s">
        <v>49</v>
      </c>
      <c r="B19">
        <v>871</v>
      </c>
      <c r="E19">
        <v>16</v>
      </c>
      <c r="F19">
        <f t="shared" si="0"/>
        <v>803.84</v>
      </c>
      <c r="G19">
        <f t="shared" si="7"/>
        <v>6.2201433121019107</v>
      </c>
      <c r="H19" s="17">
        <f t="shared" si="2"/>
        <v>5.0000000000000001E-3</v>
      </c>
      <c r="I19" s="17">
        <f t="shared" si="3"/>
        <v>4.0000000000000001E-3</v>
      </c>
      <c r="J19">
        <f>2*3.14*E19*1.5*(G19/1.5)</f>
        <v>625</v>
      </c>
      <c r="K19">
        <f t="shared" si="4"/>
        <v>2232.6800000000003</v>
      </c>
      <c r="L19">
        <f t="shared" si="5"/>
        <v>19218</v>
      </c>
      <c r="M19">
        <f>(7500*F19*H19)</f>
        <v>30144</v>
      </c>
      <c r="N19">
        <f>7500*F19*0.004</f>
        <v>24115.200000000001</v>
      </c>
      <c r="O19">
        <f>L19+M19+N19</f>
        <v>73477.2</v>
      </c>
      <c r="P19" s="19">
        <f t="shared" si="6"/>
        <v>5143404</v>
      </c>
    </row>
    <row r="20" spans="1:16" x14ac:dyDescent="0.3">
      <c r="A20" t="s">
        <v>50</v>
      </c>
      <c r="B20">
        <v>325</v>
      </c>
      <c r="E20">
        <v>17</v>
      </c>
      <c r="F20">
        <f t="shared" si="0"/>
        <v>907.46</v>
      </c>
      <c r="G20">
        <f t="shared" si="7"/>
        <v>5.5098847332113809</v>
      </c>
      <c r="H20" s="17">
        <f t="shared" si="2"/>
        <v>5.0000000000000001E-3</v>
      </c>
      <c r="I20" s="17">
        <f t="shared" si="3"/>
        <v>4.0000000000000001E-3</v>
      </c>
      <c r="J20">
        <f>2*3.14*E20*1.5*(G20/1.5)</f>
        <v>588.23529411764707</v>
      </c>
      <c r="K20">
        <f t="shared" si="4"/>
        <v>2403.1552941176469</v>
      </c>
      <c r="L20">
        <f t="shared" si="5"/>
        <v>20417</v>
      </c>
      <c r="M20">
        <f>(7500*F20*H20)</f>
        <v>34029.75</v>
      </c>
      <c r="N20">
        <f>7500*F20*0.004</f>
        <v>27223.8</v>
      </c>
      <c r="O20">
        <f>L20+M20+N20</f>
        <v>81670.55</v>
      </c>
      <c r="P20" s="19">
        <f t="shared" si="6"/>
        <v>5716938.5</v>
      </c>
    </row>
    <row r="21" spans="1:16" x14ac:dyDescent="0.3">
      <c r="A21" t="s">
        <v>51</v>
      </c>
      <c r="B21">
        <v>1.5</v>
      </c>
      <c r="E21">
        <v>18</v>
      </c>
      <c r="F21">
        <f t="shared" si="0"/>
        <v>1017.36</v>
      </c>
      <c r="G21">
        <f t="shared" si="7"/>
        <v>4.9146811354879292</v>
      </c>
      <c r="H21" s="17">
        <f t="shared" si="2"/>
        <v>5.0000000000000001E-3</v>
      </c>
      <c r="I21" s="17">
        <f t="shared" si="3"/>
        <v>4.0000000000000001E-3</v>
      </c>
      <c r="J21">
        <f>2*3.14*E21*1.5*(G21/1.5)</f>
        <v>555.55555555555554</v>
      </c>
      <c r="K21">
        <f t="shared" si="4"/>
        <v>2590.2755555555555</v>
      </c>
      <c r="L21">
        <f t="shared" si="5"/>
        <v>16532</v>
      </c>
      <c r="M21">
        <f>(7500*F21*H21)</f>
        <v>38151</v>
      </c>
      <c r="N21">
        <f>7500*F21*0.004</f>
        <v>30520.799999999999</v>
      </c>
      <c r="O21">
        <f>L21+M21+N21</f>
        <v>85203.8</v>
      </c>
      <c r="P21" s="19">
        <f t="shared" si="6"/>
        <v>5964266</v>
      </c>
    </row>
    <row r="22" spans="1:16" x14ac:dyDescent="0.3">
      <c r="A22" t="s">
        <v>52</v>
      </c>
      <c r="B22">
        <v>6</v>
      </c>
      <c r="E22">
        <v>19</v>
      </c>
      <c r="F22">
        <f t="shared" si="0"/>
        <v>1133.54</v>
      </c>
      <c r="G22">
        <f t="shared" si="7"/>
        <v>4.4109603542883358</v>
      </c>
      <c r="H22" s="17">
        <f t="shared" si="2"/>
        <v>4.0000000000000001E-3</v>
      </c>
      <c r="I22" s="17">
        <f t="shared" si="3"/>
        <v>4.0000000000000001E-3</v>
      </c>
      <c r="J22">
        <f t="shared" ref="J22:J33" si="8">2*3.14*E22*1.5*(G22/1.5)</f>
        <v>526.31578947368428</v>
      </c>
      <c r="K22">
        <f t="shared" si="4"/>
        <v>2793.3957894736841</v>
      </c>
      <c r="L22">
        <f t="shared" si="5"/>
        <v>16107</v>
      </c>
      <c r="M22">
        <f t="shared" ref="M22:M33" si="9">(7500*F22*H22)</f>
        <v>34006.199999999997</v>
      </c>
      <c r="N22">
        <f t="shared" ref="N22:N33" si="10">7500*F22*0.004</f>
        <v>34006.199999999997</v>
      </c>
      <c r="O22">
        <f>L22+M22+N22</f>
        <v>84119.4</v>
      </c>
      <c r="P22" s="19">
        <f t="shared" si="6"/>
        <v>5888358</v>
      </c>
    </row>
    <row r="23" spans="1:16" x14ac:dyDescent="0.3">
      <c r="A23" t="s">
        <v>82</v>
      </c>
      <c r="B23">
        <v>70000</v>
      </c>
      <c r="E23">
        <v>20</v>
      </c>
      <c r="F23">
        <f t="shared" si="0"/>
        <v>1256</v>
      </c>
      <c r="G23">
        <f t="shared" si="7"/>
        <v>3.9808917197452227</v>
      </c>
      <c r="H23" s="17">
        <f t="shared" si="2"/>
        <v>4.0000000000000001E-3</v>
      </c>
      <c r="I23" s="17">
        <f t="shared" si="3"/>
        <v>4.0000000000000001E-3</v>
      </c>
      <c r="J23">
        <f t="shared" si="8"/>
        <v>500</v>
      </c>
      <c r="K23">
        <f t="shared" si="4"/>
        <v>3012</v>
      </c>
      <c r="L23">
        <f t="shared" si="5"/>
        <v>16956</v>
      </c>
      <c r="M23">
        <f t="shared" si="9"/>
        <v>37680</v>
      </c>
      <c r="N23">
        <f t="shared" si="10"/>
        <v>37680</v>
      </c>
      <c r="O23">
        <f>L23+M23+N23</f>
        <v>92316</v>
      </c>
      <c r="P23" s="19">
        <f t="shared" si="6"/>
        <v>6462120</v>
      </c>
    </row>
    <row r="24" spans="1:16" x14ac:dyDescent="0.3">
      <c r="E24">
        <v>21</v>
      </c>
      <c r="F24">
        <f t="shared" si="0"/>
        <v>1384.74</v>
      </c>
      <c r="G24">
        <f t="shared" si="7"/>
        <v>3.6107861403584787</v>
      </c>
      <c r="H24" s="17">
        <f t="shared" si="2"/>
        <v>4.0000000000000001E-3</v>
      </c>
      <c r="I24" s="17">
        <f t="shared" ref="I22:I33" si="11">ВерхняяТолщина($B$1,G24,E24)</f>
        <v>4.0000000000000001E-3</v>
      </c>
      <c r="J24">
        <f t="shared" si="8"/>
        <v>476.1904761904762</v>
      </c>
      <c r="K24">
        <f t="shared" si="4"/>
        <v>3245.6704761904762</v>
      </c>
      <c r="L24">
        <f t="shared" si="5"/>
        <v>11870</v>
      </c>
      <c r="M24">
        <f t="shared" si="9"/>
        <v>41542.200000000004</v>
      </c>
      <c r="N24">
        <f t="shared" si="10"/>
        <v>41542.200000000004</v>
      </c>
      <c r="O24">
        <f>L24+M24+N24</f>
        <v>94954.400000000009</v>
      </c>
      <c r="P24" s="19">
        <f t="shared" si="6"/>
        <v>6646808.0000000009</v>
      </c>
    </row>
    <row r="25" spans="1:16" x14ac:dyDescent="0.3">
      <c r="E25">
        <v>22</v>
      </c>
      <c r="F25">
        <f t="shared" si="0"/>
        <v>1519.76</v>
      </c>
      <c r="G25">
        <f t="shared" si="7"/>
        <v>3.289993156814234</v>
      </c>
      <c r="H25" s="17">
        <f t="shared" si="2"/>
        <v>4.0000000000000001E-3</v>
      </c>
      <c r="I25" s="17">
        <f t="shared" si="11"/>
        <v>4.0000000000000001E-3</v>
      </c>
      <c r="J25">
        <f t="shared" si="8"/>
        <v>454.54545454545456</v>
      </c>
      <c r="K25">
        <f t="shared" si="4"/>
        <v>3494.0654545454545</v>
      </c>
      <c r="L25">
        <f t="shared" si="5"/>
        <v>12434</v>
      </c>
      <c r="M25">
        <f t="shared" si="9"/>
        <v>45592.800000000003</v>
      </c>
      <c r="N25">
        <f t="shared" si="10"/>
        <v>45592.800000000003</v>
      </c>
      <c r="O25">
        <f>L25+M25+N25</f>
        <v>103619.6</v>
      </c>
      <c r="P25" s="19">
        <f t="shared" si="6"/>
        <v>7253372</v>
      </c>
    </row>
    <row r="26" spans="1:16" x14ac:dyDescent="0.3">
      <c r="E26">
        <v>23</v>
      </c>
      <c r="F26">
        <f t="shared" si="0"/>
        <v>1661.0600000000002</v>
      </c>
      <c r="G26">
        <f t="shared" si="7"/>
        <v>3.0101260640795635</v>
      </c>
      <c r="H26" s="17">
        <f t="shared" si="2"/>
        <v>4.0000000000000001E-3</v>
      </c>
      <c r="I26" s="17">
        <f t="shared" si="11"/>
        <v>4.0000000000000001E-3</v>
      </c>
      <c r="J26">
        <f t="shared" si="8"/>
        <v>434.78260869565213</v>
      </c>
      <c r="K26">
        <f t="shared" si="4"/>
        <v>3756.9026086956524</v>
      </c>
      <c r="L26">
        <f t="shared" si="5"/>
        <v>13000</v>
      </c>
      <c r="M26">
        <f t="shared" si="9"/>
        <v>49831.80000000001</v>
      </c>
      <c r="N26">
        <f t="shared" si="10"/>
        <v>49831.80000000001</v>
      </c>
      <c r="O26">
        <f>L26+M26+N26</f>
        <v>112663.60000000002</v>
      </c>
      <c r="P26" s="19">
        <f t="shared" si="6"/>
        <v>7886452.0000000009</v>
      </c>
    </row>
    <row r="27" spans="1:16" x14ac:dyDescent="0.3">
      <c r="E27">
        <v>24</v>
      </c>
      <c r="F27">
        <f t="shared" si="0"/>
        <v>1808.64</v>
      </c>
      <c r="G27">
        <f t="shared" si="7"/>
        <v>2.7645081387119603</v>
      </c>
      <c r="H27" s="17">
        <f t="shared" si="2"/>
        <v>4.0000000000000001E-3</v>
      </c>
      <c r="I27" s="17">
        <f t="shared" si="11"/>
        <v>4.0000000000000001E-3</v>
      </c>
      <c r="J27">
        <f t="shared" si="8"/>
        <v>416.66666666666663</v>
      </c>
      <c r="K27">
        <f t="shared" si="4"/>
        <v>4033.9466666666667</v>
      </c>
      <c r="L27">
        <f t="shared" si="5"/>
        <v>13564</v>
      </c>
      <c r="M27">
        <f t="shared" si="9"/>
        <v>54259.200000000004</v>
      </c>
      <c r="N27">
        <f t="shared" si="10"/>
        <v>54259.200000000004</v>
      </c>
      <c r="O27">
        <f>L27+M27+N27</f>
        <v>122082.40000000002</v>
      </c>
      <c r="P27" s="19">
        <f t="shared" si="6"/>
        <v>8545768.0000000019</v>
      </c>
    </row>
    <row r="28" spans="1:16" x14ac:dyDescent="0.3">
      <c r="A28" t="s">
        <v>58</v>
      </c>
      <c r="E28">
        <v>25</v>
      </c>
      <c r="F28">
        <f t="shared" si="0"/>
        <v>1962.5</v>
      </c>
      <c r="G28">
        <f t="shared" si="7"/>
        <v>2.5477707006369426</v>
      </c>
      <c r="H28" s="17">
        <f t="shared" ref="H5:H33" si="12">нижняяТолщина($B$1,G28,E28)</f>
        <v>4.0000000000000001E-3</v>
      </c>
      <c r="I28" s="17">
        <f t="shared" si="11"/>
        <v>4.0000000000000001E-3</v>
      </c>
      <c r="J28">
        <f t="shared" si="8"/>
        <v>399.99999999999994</v>
      </c>
      <c r="K28">
        <f t="shared" si="4"/>
        <v>4325</v>
      </c>
      <c r="L28">
        <f t="shared" si="5"/>
        <v>14130</v>
      </c>
      <c r="M28">
        <f t="shared" si="9"/>
        <v>58875</v>
      </c>
      <c r="N28">
        <f t="shared" si="10"/>
        <v>58875</v>
      </c>
      <c r="O28">
        <f>L28+M28+N28</f>
        <v>131880</v>
      </c>
      <c r="P28" s="19">
        <f t="shared" si="6"/>
        <v>9231600</v>
      </c>
    </row>
    <row r="29" spans="1:16" x14ac:dyDescent="0.3">
      <c r="A29" t="s">
        <v>56</v>
      </c>
      <c r="B29">
        <f>ROUNDUP((B2/B21), 3)</f>
        <v>8</v>
      </c>
      <c r="E29">
        <v>26</v>
      </c>
      <c r="F29">
        <f t="shared" si="0"/>
        <v>2122.64</v>
      </c>
      <c r="G29">
        <f t="shared" si="7"/>
        <v>2.3555572306184751</v>
      </c>
      <c r="H29" s="17">
        <f t="shared" si="12"/>
        <v>4.0000000000000001E-3</v>
      </c>
      <c r="I29" s="17">
        <f t="shared" si="11"/>
        <v>4.0000000000000001E-3</v>
      </c>
      <c r="J29">
        <f t="shared" si="8"/>
        <v>384.61538461538464</v>
      </c>
      <c r="K29">
        <f t="shared" si="4"/>
        <v>4629.8953846153845</v>
      </c>
      <c r="L29">
        <f t="shared" si="5"/>
        <v>14696</v>
      </c>
      <c r="M29">
        <f t="shared" si="9"/>
        <v>63679.199999999997</v>
      </c>
      <c r="N29">
        <f t="shared" si="10"/>
        <v>63679.199999999997</v>
      </c>
      <c r="O29">
        <f>L29+M29+N29</f>
        <v>142054.39999999999</v>
      </c>
      <c r="P29" s="19">
        <f t="shared" si="6"/>
        <v>9943808</v>
      </c>
    </row>
    <row r="30" spans="1:16" x14ac:dyDescent="0.3">
      <c r="A30" t="s">
        <v>63</v>
      </c>
      <c r="B30" s="10">
        <f>B20/(B11*B12)</f>
        <v>288.24833702882484</v>
      </c>
      <c r="E30">
        <v>27</v>
      </c>
      <c r="F30">
        <f t="shared" si="0"/>
        <v>2289.06</v>
      </c>
      <c r="G30">
        <f t="shared" si="7"/>
        <v>2.1843027268835242</v>
      </c>
      <c r="H30" s="17">
        <f t="shared" si="12"/>
        <v>4.0000000000000001E-3</v>
      </c>
      <c r="I30" s="17">
        <f t="shared" si="11"/>
        <v>4.0000000000000001E-3</v>
      </c>
      <c r="J30">
        <f t="shared" si="8"/>
        <v>370.37037037037038</v>
      </c>
      <c r="K30">
        <f t="shared" si="4"/>
        <v>4948.4903703703703</v>
      </c>
      <c r="L30">
        <f t="shared" si="5"/>
        <v>7630</v>
      </c>
      <c r="M30">
        <f t="shared" si="9"/>
        <v>68671.8</v>
      </c>
      <c r="N30">
        <f t="shared" si="10"/>
        <v>68671.8</v>
      </c>
      <c r="O30">
        <f>L30+M30+N30</f>
        <v>144973.6</v>
      </c>
      <c r="P30" s="19">
        <f t="shared" si="6"/>
        <v>10148152</v>
      </c>
    </row>
    <row r="31" spans="1:16" x14ac:dyDescent="0.3">
      <c r="A31" t="s">
        <v>73</v>
      </c>
      <c r="B31" s="23">
        <f>IF(B3*2&lt;16,5,IF(AND(B3*2&gt;=16, B3*2&lt;25),6, IF(AND(B3*2&gt;=25, B3*2&lt;40),8,IF(AND(B3*2&gt;=40, B3*2&lt;65),10, 12))))*10^-3</f>
        <v>0.01</v>
      </c>
      <c r="E31">
        <v>28</v>
      </c>
      <c r="F31">
        <f t="shared" si="0"/>
        <v>2461.7600000000002</v>
      </c>
      <c r="G31">
        <f t="shared" si="7"/>
        <v>2.0310672039516442</v>
      </c>
      <c r="H31" s="17">
        <f t="shared" si="12"/>
        <v>4.0000000000000001E-3</v>
      </c>
      <c r="I31" s="17">
        <f t="shared" si="11"/>
        <v>4.0000000000000001E-3</v>
      </c>
      <c r="J31">
        <f t="shared" si="8"/>
        <v>357.14285714285711</v>
      </c>
      <c r="K31">
        <f t="shared" si="4"/>
        <v>5280.6628571428573</v>
      </c>
      <c r="L31">
        <f t="shared" si="5"/>
        <v>7913</v>
      </c>
      <c r="M31">
        <f t="shared" si="9"/>
        <v>73852.800000000003</v>
      </c>
      <c r="N31">
        <f t="shared" si="10"/>
        <v>73852.800000000003</v>
      </c>
      <c r="O31">
        <f>L31+M31+N31</f>
        <v>155618.6</v>
      </c>
      <c r="P31" s="19">
        <f t="shared" si="6"/>
        <v>10893302.000000002</v>
      </c>
    </row>
    <row r="32" spans="1:16" x14ac:dyDescent="0.3">
      <c r="E32">
        <v>29</v>
      </c>
      <c r="F32">
        <f t="shared" si="0"/>
        <v>2640.7400000000002</v>
      </c>
      <c r="G32">
        <f t="shared" si="7"/>
        <v>1.8934086657527813</v>
      </c>
      <c r="H32" s="17">
        <f t="shared" si="12"/>
        <v>4.0000000000000001E-3</v>
      </c>
      <c r="I32" s="17">
        <f t="shared" si="11"/>
        <v>4.0000000000000001E-3</v>
      </c>
      <c r="J32">
        <f t="shared" si="8"/>
        <v>344.82758620689657</v>
      </c>
      <c r="K32">
        <f t="shared" si="4"/>
        <v>5626.3075862068972</v>
      </c>
      <c r="L32">
        <f t="shared" si="5"/>
        <v>8195</v>
      </c>
      <c r="M32">
        <f t="shared" si="9"/>
        <v>79222.2</v>
      </c>
      <c r="N32">
        <f t="shared" si="10"/>
        <v>79222.2</v>
      </c>
      <c r="O32">
        <f>L32+M32+N32</f>
        <v>166639.4</v>
      </c>
      <c r="P32" s="19">
        <f t="shared" si="6"/>
        <v>11664758</v>
      </c>
    </row>
    <row r="33" spans="5:16" x14ac:dyDescent="0.3">
      <c r="E33">
        <v>30</v>
      </c>
      <c r="F33">
        <f t="shared" si="0"/>
        <v>2826</v>
      </c>
      <c r="G33">
        <f t="shared" si="7"/>
        <v>1.7692852087756545</v>
      </c>
      <c r="H33" s="17">
        <f t="shared" si="12"/>
        <v>4.0000000000000001E-3</v>
      </c>
      <c r="I33" s="17">
        <f t="shared" si="11"/>
        <v>4.0000000000000001E-3</v>
      </c>
      <c r="J33">
        <f t="shared" si="8"/>
        <v>333.33333333333337</v>
      </c>
      <c r="K33">
        <f t="shared" si="4"/>
        <v>5985.333333333333</v>
      </c>
      <c r="L33">
        <f t="shared" si="5"/>
        <v>8478</v>
      </c>
      <c r="M33">
        <f t="shared" si="9"/>
        <v>84780</v>
      </c>
      <c r="N33">
        <f t="shared" si="10"/>
        <v>84780</v>
      </c>
      <c r="O33">
        <f>L33+M33+N33</f>
        <v>178038</v>
      </c>
      <c r="P33" s="19">
        <f t="shared" si="6"/>
        <v>12462660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563-4D39-4449-BCEE-0620624103E1}">
  <sheetPr codeName="Лист10"/>
  <dimension ref="A1:Q48"/>
  <sheetViews>
    <sheetView tabSelected="1" topLeftCell="J1" zoomScale="70" zoomScaleNormal="70" workbookViewId="0">
      <selection activeCell="Q5" sqref="Q5"/>
    </sheetView>
  </sheetViews>
  <sheetFormatPr defaultRowHeight="14.4" x14ac:dyDescent="0.3"/>
  <cols>
    <col min="1" max="1" width="43.33203125" customWidth="1"/>
    <col min="2" max="2" width="38.88671875" customWidth="1"/>
    <col min="7" max="7" width="13.6640625" customWidth="1"/>
    <col min="8" max="8" width="21" customWidth="1"/>
    <col min="9" max="9" width="94" customWidth="1"/>
    <col min="10" max="10" width="26.5546875" customWidth="1"/>
    <col min="11" max="12" width="23.109375" customWidth="1"/>
    <col min="13" max="13" width="35.88671875" customWidth="1"/>
    <col min="14" max="14" width="29.21875" customWidth="1"/>
    <col min="15" max="15" width="34.109375" customWidth="1"/>
    <col min="16" max="16" width="12.33203125" customWidth="1"/>
    <col min="17" max="17" width="37.33203125" customWidth="1"/>
  </cols>
  <sheetData>
    <row r="1" spans="1:17" x14ac:dyDescent="0.3">
      <c r="A1" t="s">
        <v>60</v>
      </c>
      <c r="B1">
        <v>5000</v>
      </c>
    </row>
    <row r="2" spans="1:17" ht="15" thickBot="1" x14ac:dyDescent="0.35">
      <c r="A2" t="s">
        <v>54</v>
      </c>
      <c r="B2">
        <v>12</v>
      </c>
    </row>
    <row r="3" spans="1:17" ht="42" customHeight="1" thickBot="1" x14ac:dyDescent="0.35">
      <c r="A3" t="s">
        <v>55</v>
      </c>
      <c r="B3">
        <v>22.8</v>
      </c>
      <c r="E3" s="29" t="s">
        <v>92</v>
      </c>
      <c r="F3" s="30" t="s">
        <v>93</v>
      </c>
      <c r="G3" s="31" t="s">
        <v>94</v>
      </c>
      <c r="H3" s="30" t="s">
        <v>54</v>
      </c>
      <c r="I3" s="30" t="s">
        <v>83</v>
      </c>
      <c r="J3" s="30" t="s">
        <v>84</v>
      </c>
      <c r="K3" s="31" t="s">
        <v>85</v>
      </c>
      <c r="L3" s="30" t="s">
        <v>91</v>
      </c>
      <c r="M3" s="31" t="s">
        <v>88</v>
      </c>
      <c r="N3" s="31" t="s">
        <v>87</v>
      </c>
      <c r="O3" s="31" t="s">
        <v>89</v>
      </c>
      <c r="P3" s="30" t="s">
        <v>95</v>
      </c>
      <c r="Q3" s="32" t="s">
        <v>96</v>
      </c>
    </row>
    <row r="4" spans="1:17" x14ac:dyDescent="0.3">
      <c r="A4" t="s">
        <v>69</v>
      </c>
      <c r="B4" t="s">
        <v>70</v>
      </c>
      <c r="E4" s="36">
        <v>1</v>
      </c>
      <c r="F4" s="36">
        <v>1</v>
      </c>
      <c r="G4" s="36">
        <f t="shared" ref="G4:G34" si="0">E4*F4</f>
        <v>1</v>
      </c>
      <c r="H4" s="36">
        <f>$B$1/G4</f>
        <v>5000</v>
      </c>
      <c r="I4" s="37">
        <f>НижняяТолщинаПрямоугольник($B$1,H4,E4,F4)</f>
        <v>0.16500000000000001</v>
      </c>
      <c r="J4" s="37">
        <f>ВерхняяТолщинаПрямоугольник($B$1,H4,E4,F4)</f>
        <v>4.0000000000000001E-3</v>
      </c>
      <c r="K4" s="36">
        <f>2*(E4*1.5+F4*1.5)</f>
        <v>6</v>
      </c>
      <c r="L4" s="36">
        <f>G4*2+K4</f>
        <v>8</v>
      </c>
      <c r="M4" s="36">
        <f>ВесСталиПрямоугольник($B$1,H4, E4, F4)</f>
        <v>10891485</v>
      </c>
      <c r="N4" s="36">
        <f>(7500*G4*I4)</f>
        <v>1237.5</v>
      </c>
      <c r="O4" s="36">
        <f>7500*G4*0.004</f>
        <v>30</v>
      </c>
      <c r="P4" s="36">
        <f>M4+N4+O4</f>
        <v>10892752.5</v>
      </c>
      <c r="Q4" s="38">
        <f>P4/1000*70000</f>
        <v>762492675</v>
      </c>
    </row>
    <row r="5" spans="1:17" x14ac:dyDescent="0.3">
      <c r="E5" s="33">
        <v>1</v>
      </c>
      <c r="F5" s="33">
        <v>2</v>
      </c>
      <c r="G5" s="33">
        <f t="shared" si="0"/>
        <v>2</v>
      </c>
      <c r="H5" s="33">
        <f t="shared" ref="H5:H50" si="1">$B$1/G5</f>
        <v>2500</v>
      </c>
      <c r="I5" s="34">
        <f t="shared" ref="I5:I31" si="2">НижняяТолщинаПрямоугольник($B$1,H5,E5,F5)</f>
        <v>0.13100000000000001</v>
      </c>
      <c r="J5" s="34">
        <f t="shared" ref="J5:J31" si="3">ВерхняяТолщинаПрямоугольник($B$1,H5,E5,F5)</f>
        <v>4.0000000000000001E-3</v>
      </c>
      <c r="K5" s="33">
        <f t="shared" ref="K5:K34" si="4">2*(E5*1.5+F5*1.5)</f>
        <v>9</v>
      </c>
      <c r="L5" s="33">
        <f t="shared" ref="L5:L34" si="5">G5*2+K5</f>
        <v>13</v>
      </c>
      <c r="M5" s="33">
        <f t="shared" ref="M5:M31" si="6">ВесСталиПрямоугольник($B$1,H5, E5, F5)</f>
        <v>6475275</v>
      </c>
      <c r="N5" s="33">
        <f t="shared" ref="N5:N31" si="7">(7500*G5*I5)</f>
        <v>1965</v>
      </c>
      <c r="O5" s="33">
        <f t="shared" ref="O5:O34" si="8">7500*G5*0.004</f>
        <v>60</v>
      </c>
      <c r="P5" s="33">
        <f t="shared" ref="P5:P31" si="9">M5+N5+O5</f>
        <v>6477300</v>
      </c>
      <c r="Q5" s="35">
        <f t="shared" ref="Q5:Q50" si="10">P5/1000*70000</f>
        <v>453411000</v>
      </c>
    </row>
    <row r="6" spans="1:17" x14ac:dyDescent="0.3">
      <c r="A6" s="22" t="s">
        <v>59</v>
      </c>
      <c r="E6" s="33">
        <v>2</v>
      </c>
      <c r="F6" s="33">
        <v>2</v>
      </c>
      <c r="G6" s="33">
        <f t="shared" si="0"/>
        <v>4</v>
      </c>
      <c r="H6" s="33">
        <f t="shared" si="1"/>
        <v>1250</v>
      </c>
      <c r="I6" s="34">
        <f t="shared" si="2"/>
        <v>8.3000000000000004E-2</v>
      </c>
      <c r="J6" s="34">
        <f t="shared" si="3"/>
        <v>4.0000000000000001E-3</v>
      </c>
      <c r="K6" s="33">
        <f t="shared" si="4"/>
        <v>12</v>
      </c>
      <c r="L6" s="33">
        <f t="shared" si="5"/>
        <v>20</v>
      </c>
      <c r="M6" s="33">
        <f t="shared" si="6"/>
        <v>2749230</v>
      </c>
      <c r="N6" s="33">
        <f t="shared" si="7"/>
        <v>2490</v>
      </c>
      <c r="O6" s="33">
        <f t="shared" si="8"/>
        <v>120</v>
      </c>
      <c r="P6" s="33">
        <f t="shared" si="9"/>
        <v>2751840</v>
      </c>
      <c r="Q6" s="35">
        <f t="shared" si="10"/>
        <v>192628800</v>
      </c>
    </row>
    <row r="7" spans="1:17" x14ac:dyDescent="0.3">
      <c r="A7" t="s">
        <v>57</v>
      </c>
      <c r="B7">
        <v>0.8</v>
      </c>
      <c r="E7" s="33">
        <v>1</v>
      </c>
      <c r="F7" s="33">
        <v>3</v>
      </c>
      <c r="G7" s="33">
        <f t="shared" si="0"/>
        <v>3</v>
      </c>
      <c r="H7" s="33">
        <f t="shared" si="1"/>
        <v>1666.6666666666667</v>
      </c>
      <c r="I7" s="34">
        <f t="shared" si="2"/>
        <v>0.123</v>
      </c>
      <c r="J7" s="34">
        <f t="shared" si="3"/>
        <v>4.0000000000000001E-3</v>
      </c>
      <c r="K7" s="33">
        <f t="shared" si="4"/>
        <v>12</v>
      </c>
      <c r="L7" s="33">
        <f t="shared" si="5"/>
        <v>18</v>
      </c>
      <c r="M7" s="33">
        <f t="shared" si="6"/>
        <v>5431680</v>
      </c>
      <c r="N7" s="33">
        <f t="shared" si="7"/>
        <v>2767.5</v>
      </c>
      <c r="O7" s="33">
        <f t="shared" si="8"/>
        <v>90</v>
      </c>
      <c r="P7" s="33">
        <f t="shared" si="9"/>
        <v>5434537.5</v>
      </c>
      <c r="Q7" s="35">
        <f t="shared" si="10"/>
        <v>380417625</v>
      </c>
    </row>
    <row r="8" spans="1:17" x14ac:dyDescent="0.3">
      <c r="A8" t="s">
        <v>72</v>
      </c>
      <c r="B8">
        <v>9.81</v>
      </c>
      <c r="E8" s="33">
        <v>2</v>
      </c>
      <c r="F8" s="33">
        <v>3</v>
      </c>
      <c r="G8" s="33">
        <f t="shared" si="0"/>
        <v>6</v>
      </c>
      <c r="H8" s="33">
        <f t="shared" si="1"/>
        <v>833.33333333333337</v>
      </c>
      <c r="I8" s="34">
        <f t="shared" si="2"/>
        <v>7.0000000000000007E-2</v>
      </c>
      <c r="J8" s="34">
        <f t="shared" si="3"/>
        <v>4.0000000000000001E-3</v>
      </c>
      <c r="K8" s="33">
        <f t="shared" si="4"/>
        <v>15</v>
      </c>
      <c r="L8" s="33">
        <f t="shared" si="5"/>
        <v>27</v>
      </c>
      <c r="M8" s="33">
        <f t="shared" si="6"/>
        <v>1955610</v>
      </c>
      <c r="N8" s="33">
        <f t="shared" si="7"/>
        <v>3150.0000000000005</v>
      </c>
      <c r="O8" s="33">
        <f t="shared" si="8"/>
        <v>180</v>
      </c>
      <c r="P8" s="33">
        <f t="shared" si="9"/>
        <v>1958940</v>
      </c>
      <c r="Q8" s="35">
        <f t="shared" si="10"/>
        <v>137125800</v>
      </c>
    </row>
    <row r="9" spans="1:17" x14ac:dyDescent="0.3">
      <c r="A9" s="25" t="s">
        <v>67</v>
      </c>
      <c r="B9">
        <v>1.1000000000000001</v>
      </c>
      <c r="E9" s="33">
        <v>3</v>
      </c>
      <c r="F9" s="33">
        <v>3</v>
      </c>
      <c r="G9" s="33">
        <f t="shared" si="0"/>
        <v>9</v>
      </c>
      <c r="H9" s="33">
        <f t="shared" si="1"/>
        <v>555.55555555555554</v>
      </c>
      <c r="I9" s="34">
        <f t="shared" si="2"/>
        <v>5.5E-2</v>
      </c>
      <c r="J9" s="34">
        <f t="shared" si="3"/>
        <v>4.0000000000000001E-3</v>
      </c>
      <c r="K9" s="33">
        <f t="shared" si="4"/>
        <v>18</v>
      </c>
      <c r="L9" s="33">
        <f t="shared" si="5"/>
        <v>36</v>
      </c>
      <c r="M9" s="33">
        <f t="shared" si="6"/>
        <v>1235655</v>
      </c>
      <c r="N9" s="33">
        <f t="shared" si="7"/>
        <v>3712.5</v>
      </c>
      <c r="O9" s="33">
        <f t="shared" si="8"/>
        <v>270</v>
      </c>
      <c r="P9" s="33">
        <f t="shared" si="9"/>
        <v>1239637.5</v>
      </c>
      <c r="Q9" s="35">
        <f t="shared" si="10"/>
        <v>86774625</v>
      </c>
    </row>
    <row r="10" spans="1:17" x14ac:dyDescent="0.3">
      <c r="A10" s="25" t="s">
        <v>68</v>
      </c>
      <c r="B10">
        <v>1.2</v>
      </c>
      <c r="E10" s="33">
        <v>1</v>
      </c>
      <c r="F10" s="33">
        <v>4</v>
      </c>
      <c r="G10" s="33">
        <f t="shared" si="0"/>
        <v>4</v>
      </c>
      <c r="H10" s="33">
        <f t="shared" si="1"/>
        <v>1250</v>
      </c>
      <c r="I10" s="34">
        <f t="shared" si="2"/>
        <v>0.121</v>
      </c>
      <c r="J10" s="34">
        <f t="shared" si="3"/>
        <v>4.0000000000000001E-3</v>
      </c>
      <c r="K10" s="33">
        <f t="shared" si="4"/>
        <v>15</v>
      </c>
      <c r="L10" s="33">
        <f t="shared" si="5"/>
        <v>23</v>
      </c>
      <c r="M10" s="33">
        <f t="shared" si="6"/>
        <v>4984114</v>
      </c>
      <c r="N10" s="33">
        <f t="shared" si="7"/>
        <v>3630</v>
      </c>
      <c r="O10" s="33">
        <f t="shared" si="8"/>
        <v>120</v>
      </c>
      <c r="P10" s="33">
        <f t="shared" si="9"/>
        <v>4987864</v>
      </c>
      <c r="Q10" s="35">
        <f t="shared" si="10"/>
        <v>349150480</v>
      </c>
    </row>
    <row r="11" spans="1:17" x14ac:dyDescent="0.3">
      <c r="A11" t="s">
        <v>61</v>
      </c>
      <c r="B11">
        <v>1.0249999999999999</v>
      </c>
      <c r="E11" s="33">
        <v>2</v>
      </c>
      <c r="F11" s="33">
        <v>4</v>
      </c>
      <c r="G11" s="33">
        <f t="shared" si="0"/>
        <v>8</v>
      </c>
      <c r="H11" s="33">
        <f t="shared" si="1"/>
        <v>625</v>
      </c>
      <c r="I11" s="34">
        <f t="shared" si="2"/>
        <v>6.6000000000000003E-2</v>
      </c>
      <c r="J11" s="34">
        <f t="shared" si="3"/>
        <v>4.0000000000000001E-3</v>
      </c>
      <c r="K11" s="33">
        <f t="shared" si="4"/>
        <v>18</v>
      </c>
      <c r="L11" s="33">
        <f t="shared" si="5"/>
        <v>34</v>
      </c>
      <c r="M11" s="33">
        <f t="shared" si="6"/>
        <v>1641060</v>
      </c>
      <c r="N11" s="33">
        <f t="shared" si="7"/>
        <v>3960</v>
      </c>
      <c r="O11" s="33">
        <f t="shared" si="8"/>
        <v>240</v>
      </c>
      <c r="P11" s="33">
        <f t="shared" si="9"/>
        <v>1645260</v>
      </c>
      <c r="Q11" s="35">
        <f t="shared" si="10"/>
        <v>115168200</v>
      </c>
    </row>
    <row r="12" spans="1:17" x14ac:dyDescent="0.3">
      <c r="A12" t="s">
        <v>62</v>
      </c>
      <c r="B12" s="23">
        <f>IF(B1&lt;10000, 1.1, 1.15)</f>
        <v>1.1000000000000001</v>
      </c>
      <c r="E12" s="33">
        <v>3</v>
      </c>
      <c r="F12" s="33">
        <v>4</v>
      </c>
      <c r="G12" s="33">
        <f t="shared" si="0"/>
        <v>12</v>
      </c>
      <c r="H12" s="33">
        <f t="shared" si="1"/>
        <v>416.66666666666669</v>
      </c>
      <c r="I12" s="34">
        <f t="shared" si="2"/>
        <v>4.9000000000000002E-2</v>
      </c>
      <c r="J12" s="34">
        <f t="shared" si="3"/>
        <v>4.0000000000000001E-3</v>
      </c>
      <c r="K12" s="33">
        <f t="shared" si="4"/>
        <v>21</v>
      </c>
      <c r="L12" s="33">
        <f t="shared" si="5"/>
        <v>45</v>
      </c>
      <c r="M12" s="33">
        <f t="shared" si="6"/>
        <v>961076</v>
      </c>
      <c r="N12" s="33">
        <f t="shared" si="7"/>
        <v>4410</v>
      </c>
      <c r="O12" s="33">
        <f t="shared" si="8"/>
        <v>360</v>
      </c>
      <c r="P12" s="33">
        <f t="shared" si="9"/>
        <v>965846</v>
      </c>
      <c r="Q12" s="35">
        <f t="shared" si="10"/>
        <v>67609220</v>
      </c>
    </row>
    <row r="13" spans="1:17" x14ac:dyDescent="0.3">
      <c r="A13" t="s">
        <v>66</v>
      </c>
      <c r="E13" s="33">
        <v>4</v>
      </c>
      <c r="F13" s="33">
        <v>4</v>
      </c>
      <c r="G13" s="33">
        <f t="shared" si="0"/>
        <v>16</v>
      </c>
      <c r="H13" s="33">
        <f t="shared" si="1"/>
        <v>312.5</v>
      </c>
      <c r="I13" s="34">
        <f t="shared" si="2"/>
        <v>4.2000000000000003E-2</v>
      </c>
      <c r="J13" s="34">
        <f t="shared" si="3"/>
        <v>4.0000000000000001E-3</v>
      </c>
      <c r="K13" s="33">
        <f t="shared" si="4"/>
        <v>24</v>
      </c>
      <c r="L13" s="33">
        <f t="shared" si="5"/>
        <v>56</v>
      </c>
      <c r="M13" s="33">
        <f t="shared" si="6"/>
        <v>704160</v>
      </c>
      <c r="N13" s="33">
        <f t="shared" si="7"/>
        <v>5040</v>
      </c>
      <c r="O13" s="33">
        <f t="shared" si="8"/>
        <v>480</v>
      </c>
      <c r="P13" s="33">
        <f t="shared" si="9"/>
        <v>709680</v>
      </c>
      <c r="Q13" s="35">
        <f t="shared" si="10"/>
        <v>49677600</v>
      </c>
    </row>
    <row r="14" spans="1:17" x14ac:dyDescent="0.3">
      <c r="A14" t="s">
        <v>64</v>
      </c>
      <c r="B14">
        <v>0.7</v>
      </c>
      <c r="E14" s="33">
        <v>1</v>
      </c>
      <c r="F14" s="33">
        <v>5</v>
      </c>
      <c r="G14" s="33">
        <f t="shared" si="0"/>
        <v>5</v>
      </c>
      <c r="H14" s="33">
        <f t="shared" si="1"/>
        <v>1000</v>
      </c>
      <c r="I14" s="34">
        <f t="shared" si="2"/>
        <v>0.11899999999999999</v>
      </c>
      <c r="J14" s="34">
        <f t="shared" si="3"/>
        <v>4.0000000000000001E-3</v>
      </c>
      <c r="K14" s="33">
        <f t="shared" si="4"/>
        <v>18</v>
      </c>
      <c r="L14" s="33">
        <f t="shared" si="5"/>
        <v>28</v>
      </c>
      <c r="M14" s="33">
        <f t="shared" si="6"/>
        <v>4736205</v>
      </c>
      <c r="N14" s="33">
        <f t="shared" si="7"/>
        <v>4462.5</v>
      </c>
      <c r="O14" s="33">
        <f t="shared" si="8"/>
        <v>150</v>
      </c>
      <c r="P14" s="33">
        <f t="shared" si="9"/>
        <v>4740817.5</v>
      </c>
      <c r="Q14" s="35">
        <f t="shared" si="10"/>
        <v>331857225</v>
      </c>
    </row>
    <row r="15" spans="1:17" x14ac:dyDescent="0.3">
      <c r="A15" t="s">
        <v>65</v>
      </c>
      <c r="B15">
        <v>0.8</v>
      </c>
      <c r="E15" s="33">
        <v>2</v>
      </c>
      <c r="F15" s="33">
        <v>5</v>
      </c>
      <c r="G15" s="33">
        <f t="shared" si="0"/>
        <v>10</v>
      </c>
      <c r="H15" s="33">
        <f t="shared" si="1"/>
        <v>500</v>
      </c>
      <c r="I15" s="34">
        <f t="shared" si="2"/>
        <v>6.3E-2</v>
      </c>
      <c r="J15" s="34">
        <f t="shared" si="3"/>
        <v>4.0000000000000001E-3</v>
      </c>
      <c r="K15" s="33">
        <f t="shared" si="4"/>
        <v>21</v>
      </c>
      <c r="L15" s="33">
        <f t="shared" si="5"/>
        <v>41</v>
      </c>
      <c r="M15" s="33">
        <f t="shared" si="6"/>
        <v>1477683</v>
      </c>
      <c r="N15" s="33">
        <f t="shared" si="7"/>
        <v>4725</v>
      </c>
      <c r="O15" s="33">
        <f t="shared" si="8"/>
        <v>300</v>
      </c>
      <c r="P15" s="33">
        <f t="shared" si="9"/>
        <v>1482708</v>
      </c>
      <c r="Q15" s="35">
        <f t="shared" si="10"/>
        <v>103789560</v>
      </c>
    </row>
    <row r="16" spans="1:17" x14ac:dyDescent="0.3">
      <c r="A16" t="s">
        <v>71</v>
      </c>
      <c r="B16" s="23">
        <f>IF(B4="+", 2000,0)</f>
        <v>0</v>
      </c>
      <c r="E16" s="33">
        <v>3</v>
      </c>
      <c r="F16" s="33">
        <v>5</v>
      </c>
      <c r="G16" s="33">
        <f t="shared" si="0"/>
        <v>15</v>
      </c>
      <c r="H16" s="33">
        <f t="shared" si="1"/>
        <v>333.33333333333331</v>
      </c>
      <c r="I16" s="34">
        <f t="shared" si="2"/>
        <v>4.5999999999999999E-2</v>
      </c>
      <c r="J16" s="34">
        <f t="shared" si="3"/>
        <v>4.0000000000000001E-3</v>
      </c>
      <c r="K16" s="33">
        <f t="shared" si="4"/>
        <v>24</v>
      </c>
      <c r="L16" s="33">
        <f t="shared" si="5"/>
        <v>54</v>
      </c>
      <c r="M16" s="33">
        <f t="shared" si="6"/>
        <v>822600</v>
      </c>
      <c r="N16" s="33">
        <f t="shared" si="7"/>
        <v>5175</v>
      </c>
      <c r="O16" s="33">
        <f t="shared" si="8"/>
        <v>450</v>
      </c>
      <c r="P16" s="33">
        <f t="shared" si="9"/>
        <v>828225</v>
      </c>
      <c r="Q16" s="35">
        <f t="shared" si="10"/>
        <v>57975750</v>
      </c>
    </row>
    <row r="17" spans="1:17" x14ac:dyDescent="0.3">
      <c r="E17" s="33">
        <v>4</v>
      </c>
      <c r="F17" s="33">
        <v>5</v>
      </c>
      <c r="G17" s="33">
        <f t="shared" si="0"/>
        <v>20</v>
      </c>
      <c r="H17" s="33">
        <f t="shared" si="1"/>
        <v>250</v>
      </c>
      <c r="I17" s="34">
        <f t="shared" si="2"/>
        <v>3.7999999999999999E-2</v>
      </c>
      <c r="J17" s="34">
        <f t="shared" si="3"/>
        <v>4.0000000000000001E-3</v>
      </c>
      <c r="K17" s="33">
        <f t="shared" si="4"/>
        <v>27</v>
      </c>
      <c r="L17" s="33">
        <f t="shared" si="5"/>
        <v>67</v>
      </c>
      <c r="M17" s="33">
        <f t="shared" si="6"/>
        <v>578151</v>
      </c>
      <c r="N17" s="33">
        <f t="shared" si="7"/>
        <v>5700</v>
      </c>
      <c r="O17" s="33">
        <f t="shared" si="8"/>
        <v>600</v>
      </c>
      <c r="P17" s="33">
        <f t="shared" si="9"/>
        <v>584451</v>
      </c>
      <c r="Q17" s="35">
        <f t="shared" si="10"/>
        <v>40911570</v>
      </c>
    </row>
    <row r="18" spans="1:17" x14ac:dyDescent="0.3">
      <c r="A18" s="22" t="s">
        <v>48</v>
      </c>
      <c r="E18" s="33">
        <v>5</v>
      </c>
      <c r="F18" s="33">
        <v>5</v>
      </c>
      <c r="G18" s="33">
        <f t="shared" si="0"/>
        <v>25</v>
      </c>
      <c r="H18" s="33">
        <f t="shared" si="1"/>
        <v>200</v>
      </c>
      <c r="I18" s="34">
        <f t="shared" si="2"/>
        <v>3.3000000000000002E-2</v>
      </c>
      <c r="J18" s="34">
        <f t="shared" si="3"/>
        <v>4.0000000000000001E-3</v>
      </c>
      <c r="K18" s="33">
        <f t="shared" si="4"/>
        <v>30</v>
      </c>
      <c r="L18" s="33">
        <f t="shared" si="5"/>
        <v>80</v>
      </c>
      <c r="M18" s="33">
        <f t="shared" si="6"/>
        <v>456975</v>
      </c>
      <c r="N18" s="33">
        <f t="shared" si="7"/>
        <v>6187.5</v>
      </c>
      <c r="O18" s="33">
        <f t="shared" si="8"/>
        <v>750</v>
      </c>
      <c r="P18" s="33">
        <f t="shared" si="9"/>
        <v>463912.5</v>
      </c>
      <c r="Q18" s="35">
        <f t="shared" si="10"/>
        <v>32473875</v>
      </c>
    </row>
    <row r="19" spans="1:17" x14ac:dyDescent="0.3">
      <c r="A19" t="s">
        <v>49</v>
      </c>
      <c r="B19">
        <v>871</v>
      </c>
      <c r="E19" s="33">
        <v>1</v>
      </c>
      <c r="F19" s="33">
        <v>6</v>
      </c>
      <c r="G19" s="33">
        <f t="shared" si="0"/>
        <v>6</v>
      </c>
      <c r="H19" s="33">
        <f t="shared" si="1"/>
        <v>833.33333333333337</v>
      </c>
      <c r="I19" s="34">
        <f t="shared" si="2"/>
        <v>0.11899999999999999</v>
      </c>
      <c r="J19" s="34">
        <f t="shared" si="3"/>
        <v>4.0000000000000001E-3</v>
      </c>
      <c r="K19" s="33">
        <f t="shared" si="4"/>
        <v>21</v>
      </c>
      <c r="L19" s="33">
        <f t="shared" si="5"/>
        <v>33</v>
      </c>
      <c r="M19" s="33">
        <f t="shared" si="6"/>
        <v>4578387</v>
      </c>
      <c r="N19" s="33">
        <f t="shared" si="7"/>
        <v>5355</v>
      </c>
      <c r="O19" s="33">
        <f t="shared" si="8"/>
        <v>180</v>
      </c>
      <c r="P19" s="33">
        <f t="shared" si="9"/>
        <v>4583922</v>
      </c>
      <c r="Q19" s="35">
        <f t="shared" si="10"/>
        <v>320874539.99999994</v>
      </c>
    </row>
    <row r="20" spans="1:17" x14ac:dyDescent="0.3">
      <c r="A20" t="s">
        <v>50</v>
      </c>
      <c r="B20">
        <v>325</v>
      </c>
      <c r="E20" s="33">
        <v>2</v>
      </c>
      <c r="F20" s="33">
        <v>6</v>
      </c>
      <c r="G20" s="33">
        <f t="shared" si="0"/>
        <v>12</v>
      </c>
      <c r="H20" s="33">
        <f t="shared" si="1"/>
        <v>416.66666666666669</v>
      </c>
      <c r="I20" s="34">
        <f t="shared" si="2"/>
        <v>6.2E-2</v>
      </c>
      <c r="J20" s="34">
        <f t="shared" si="3"/>
        <v>4.0000000000000001E-3</v>
      </c>
      <c r="K20" s="33">
        <f t="shared" si="4"/>
        <v>24</v>
      </c>
      <c r="L20" s="33">
        <f t="shared" si="5"/>
        <v>48</v>
      </c>
      <c r="M20" s="33">
        <f t="shared" si="6"/>
        <v>1379340</v>
      </c>
      <c r="N20" s="33">
        <f t="shared" si="7"/>
        <v>5580</v>
      </c>
      <c r="O20" s="33">
        <f t="shared" si="8"/>
        <v>360</v>
      </c>
      <c r="P20" s="33">
        <f t="shared" si="9"/>
        <v>1385280</v>
      </c>
      <c r="Q20" s="35">
        <f t="shared" si="10"/>
        <v>96969600</v>
      </c>
    </row>
    <row r="21" spans="1:17" x14ac:dyDescent="0.3">
      <c r="A21" t="s">
        <v>51</v>
      </c>
      <c r="B21">
        <v>1.5</v>
      </c>
      <c r="E21" s="33">
        <v>3</v>
      </c>
      <c r="F21" s="33">
        <v>6</v>
      </c>
      <c r="G21" s="33">
        <f t="shared" si="0"/>
        <v>18</v>
      </c>
      <c r="H21" s="33">
        <f t="shared" si="1"/>
        <v>277.77777777777777</v>
      </c>
      <c r="I21" s="34">
        <f t="shared" si="2"/>
        <v>4.3999999999999997E-2</v>
      </c>
      <c r="J21" s="34">
        <f t="shared" si="3"/>
        <v>4.0000000000000001E-3</v>
      </c>
      <c r="K21" s="33">
        <f t="shared" si="4"/>
        <v>27</v>
      </c>
      <c r="L21" s="33">
        <f t="shared" si="5"/>
        <v>63</v>
      </c>
      <c r="M21" s="33">
        <f t="shared" si="6"/>
        <v>741363</v>
      </c>
      <c r="N21" s="33">
        <f t="shared" si="7"/>
        <v>5940</v>
      </c>
      <c r="O21" s="33">
        <f t="shared" si="8"/>
        <v>540</v>
      </c>
      <c r="P21" s="33">
        <f t="shared" si="9"/>
        <v>747843</v>
      </c>
      <c r="Q21" s="35">
        <f t="shared" si="10"/>
        <v>52349010</v>
      </c>
    </row>
    <row r="22" spans="1:17" x14ac:dyDescent="0.3">
      <c r="A22" t="s">
        <v>52</v>
      </c>
      <c r="B22">
        <v>6</v>
      </c>
      <c r="E22" s="33">
        <v>4</v>
      </c>
      <c r="F22" s="33">
        <v>6</v>
      </c>
      <c r="G22" s="33">
        <f t="shared" si="0"/>
        <v>24</v>
      </c>
      <c r="H22" s="33">
        <f t="shared" si="1"/>
        <v>208.33333333333334</v>
      </c>
      <c r="I22" s="34">
        <f t="shared" si="2"/>
        <v>3.5000000000000003E-2</v>
      </c>
      <c r="J22" s="34">
        <f t="shared" si="3"/>
        <v>4.0000000000000001E-3</v>
      </c>
      <c r="K22" s="33">
        <f t="shared" si="4"/>
        <v>30</v>
      </c>
      <c r="L22" s="33">
        <f t="shared" si="5"/>
        <v>78</v>
      </c>
      <c r="M22" s="33">
        <f t="shared" si="6"/>
        <v>504225</v>
      </c>
      <c r="N22" s="33">
        <f t="shared" si="7"/>
        <v>6300.0000000000009</v>
      </c>
      <c r="O22" s="33">
        <f t="shared" si="8"/>
        <v>720</v>
      </c>
      <c r="P22" s="33">
        <f t="shared" si="9"/>
        <v>511245</v>
      </c>
      <c r="Q22" s="35">
        <f t="shared" si="10"/>
        <v>35787150</v>
      </c>
    </row>
    <row r="23" spans="1:17" x14ac:dyDescent="0.3">
      <c r="A23" t="s">
        <v>82</v>
      </c>
      <c r="B23">
        <v>70000</v>
      </c>
      <c r="E23" s="33">
        <v>5</v>
      </c>
      <c r="F23" s="33">
        <v>6</v>
      </c>
      <c r="G23" s="33">
        <f t="shared" si="0"/>
        <v>30</v>
      </c>
      <c r="H23" s="33">
        <f t="shared" si="1"/>
        <v>166.66666666666666</v>
      </c>
      <c r="I23" s="34">
        <f t="shared" si="2"/>
        <v>3.1E-2</v>
      </c>
      <c r="J23" s="34">
        <f t="shared" si="3"/>
        <v>4.0000000000000001E-3</v>
      </c>
      <c r="K23" s="33">
        <f t="shared" si="4"/>
        <v>33</v>
      </c>
      <c r="L23" s="33">
        <f t="shared" si="5"/>
        <v>93</v>
      </c>
      <c r="M23" s="33">
        <f t="shared" si="6"/>
        <v>388576</v>
      </c>
      <c r="N23" s="33">
        <f t="shared" si="7"/>
        <v>6975</v>
      </c>
      <c r="O23" s="33">
        <f t="shared" si="8"/>
        <v>900</v>
      </c>
      <c r="P23" s="33">
        <f t="shared" si="9"/>
        <v>396451</v>
      </c>
      <c r="Q23" s="35">
        <f t="shared" si="10"/>
        <v>27751570</v>
      </c>
    </row>
    <row r="24" spans="1:17" x14ac:dyDescent="0.3">
      <c r="E24" s="33">
        <v>6</v>
      </c>
      <c r="F24" s="33">
        <v>6</v>
      </c>
      <c r="G24" s="33">
        <f t="shared" si="0"/>
        <v>36</v>
      </c>
      <c r="H24" s="33">
        <f t="shared" si="1"/>
        <v>138.88888888888889</v>
      </c>
      <c r="I24" s="34">
        <f t="shared" si="2"/>
        <v>2.8000000000000001E-2</v>
      </c>
      <c r="J24" s="34">
        <f t="shared" si="3"/>
        <v>4.0000000000000001E-3</v>
      </c>
      <c r="K24" s="33">
        <f t="shared" si="4"/>
        <v>36</v>
      </c>
      <c r="L24" s="33">
        <f t="shared" si="5"/>
        <v>108</v>
      </c>
      <c r="M24" s="33">
        <f t="shared" si="6"/>
        <v>323190</v>
      </c>
      <c r="N24" s="33">
        <f t="shared" si="7"/>
        <v>7560</v>
      </c>
      <c r="O24" s="33">
        <f t="shared" si="8"/>
        <v>1080</v>
      </c>
      <c r="P24" s="33">
        <f t="shared" si="9"/>
        <v>331830</v>
      </c>
      <c r="Q24" s="35">
        <f t="shared" si="10"/>
        <v>23228100</v>
      </c>
    </row>
    <row r="25" spans="1:17" x14ac:dyDescent="0.3">
      <c r="E25" s="33">
        <v>1</v>
      </c>
      <c r="F25" s="33">
        <v>7</v>
      </c>
      <c r="G25" s="33">
        <f t="shared" si="0"/>
        <v>7</v>
      </c>
      <c r="H25" s="33">
        <f t="shared" si="1"/>
        <v>714.28571428571433</v>
      </c>
      <c r="I25" s="34">
        <f t="shared" si="2"/>
        <v>0.11800000000000001</v>
      </c>
      <c r="J25" s="34">
        <f t="shared" si="3"/>
        <v>4.0000000000000001E-3</v>
      </c>
      <c r="K25" s="33">
        <f t="shared" si="4"/>
        <v>24</v>
      </c>
      <c r="L25" s="33">
        <f t="shared" si="5"/>
        <v>38</v>
      </c>
      <c r="M25" s="33">
        <f t="shared" si="6"/>
        <v>4471740</v>
      </c>
      <c r="N25" s="33">
        <f t="shared" si="7"/>
        <v>6195</v>
      </c>
      <c r="O25" s="33">
        <f t="shared" si="8"/>
        <v>210</v>
      </c>
      <c r="P25" s="33">
        <f t="shared" si="9"/>
        <v>4478145</v>
      </c>
      <c r="Q25" s="35">
        <f t="shared" si="10"/>
        <v>313470150.00000006</v>
      </c>
    </row>
    <row r="26" spans="1:17" x14ac:dyDescent="0.3">
      <c r="E26" s="33">
        <v>2</v>
      </c>
      <c r="F26" s="33">
        <v>7</v>
      </c>
      <c r="G26" s="33">
        <f t="shared" si="0"/>
        <v>14</v>
      </c>
      <c r="H26" s="33">
        <f t="shared" si="1"/>
        <v>357.14285714285717</v>
      </c>
      <c r="I26" s="34">
        <f t="shared" si="2"/>
        <v>6.0999999999999999E-2</v>
      </c>
      <c r="J26" s="34">
        <f t="shared" si="3"/>
        <v>4.0000000000000001E-3</v>
      </c>
      <c r="K26" s="33">
        <f t="shared" si="4"/>
        <v>27</v>
      </c>
      <c r="L26" s="33">
        <f t="shared" si="5"/>
        <v>55</v>
      </c>
      <c r="M26" s="33">
        <f t="shared" si="6"/>
        <v>1313225</v>
      </c>
      <c r="N26" s="33">
        <f t="shared" si="7"/>
        <v>6405</v>
      </c>
      <c r="O26" s="33">
        <f t="shared" si="8"/>
        <v>420</v>
      </c>
      <c r="P26" s="33">
        <f t="shared" si="9"/>
        <v>1320050</v>
      </c>
      <c r="Q26" s="35">
        <f t="shared" si="10"/>
        <v>92403500</v>
      </c>
    </row>
    <row r="27" spans="1:17" x14ac:dyDescent="0.3">
      <c r="E27" s="33">
        <v>3</v>
      </c>
      <c r="F27" s="33">
        <v>7</v>
      </c>
      <c r="G27" s="33">
        <f t="shared" si="0"/>
        <v>21</v>
      </c>
      <c r="H27" s="33">
        <f t="shared" si="1"/>
        <v>238.0952380952381</v>
      </c>
      <c r="I27" s="34">
        <f t="shared" si="2"/>
        <v>4.3000000000000003E-2</v>
      </c>
      <c r="J27" s="34">
        <f t="shared" si="3"/>
        <v>4.0000000000000001E-3</v>
      </c>
      <c r="K27" s="33">
        <f t="shared" si="4"/>
        <v>30</v>
      </c>
      <c r="L27" s="33">
        <f t="shared" si="5"/>
        <v>72</v>
      </c>
      <c r="M27" s="33">
        <f t="shared" si="6"/>
        <v>688950</v>
      </c>
      <c r="N27" s="33">
        <f t="shared" si="7"/>
        <v>6772.5000000000009</v>
      </c>
      <c r="O27" s="33">
        <f t="shared" si="8"/>
        <v>630</v>
      </c>
      <c r="P27" s="33">
        <f t="shared" si="9"/>
        <v>696352.5</v>
      </c>
      <c r="Q27" s="35">
        <f t="shared" si="10"/>
        <v>48744675</v>
      </c>
    </row>
    <row r="28" spans="1:17" x14ac:dyDescent="0.3">
      <c r="A28" t="s">
        <v>58</v>
      </c>
      <c r="E28" s="33">
        <v>4</v>
      </c>
      <c r="F28" s="33">
        <v>7</v>
      </c>
      <c r="G28" s="33">
        <f t="shared" si="0"/>
        <v>28</v>
      </c>
      <c r="H28" s="33">
        <f t="shared" si="1"/>
        <v>178.57142857142858</v>
      </c>
      <c r="I28" s="34">
        <f t="shared" si="2"/>
        <v>3.4000000000000002E-2</v>
      </c>
      <c r="J28" s="34">
        <f t="shared" si="3"/>
        <v>4.0000000000000001E-3</v>
      </c>
      <c r="K28" s="33">
        <f t="shared" si="4"/>
        <v>33</v>
      </c>
      <c r="L28" s="33">
        <f t="shared" si="5"/>
        <v>89</v>
      </c>
      <c r="M28" s="33">
        <f t="shared" si="6"/>
        <v>457134</v>
      </c>
      <c r="N28" s="33">
        <f t="shared" si="7"/>
        <v>7140.0000000000009</v>
      </c>
      <c r="O28" s="33">
        <f t="shared" si="8"/>
        <v>840</v>
      </c>
      <c r="P28" s="33">
        <f t="shared" si="9"/>
        <v>465114</v>
      </c>
      <c r="Q28" s="35">
        <f t="shared" si="10"/>
        <v>32557980</v>
      </c>
    </row>
    <row r="29" spans="1:17" x14ac:dyDescent="0.3">
      <c r="A29" t="s">
        <v>56</v>
      </c>
      <c r="B29">
        <f>ROUNDUP((B2/B21), 3)</f>
        <v>8</v>
      </c>
      <c r="E29" s="33">
        <v>5</v>
      </c>
      <c r="F29" s="33">
        <v>7</v>
      </c>
      <c r="G29" s="33">
        <f t="shared" si="0"/>
        <v>35</v>
      </c>
      <c r="H29" s="33">
        <f t="shared" si="1"/>
        <v>142.85714285714286</v>
      </c>
      <c r="I29" s="34">
        <f t="shared" si="2"/>
        <v>2.9000000000000001E-2</v>
      </c>
      <c r="J29" s="34">
        <f t="shared" si="3"/>
        <v>4.0000000000000001E-3</v>
      </c>
      <c r="K29" s="33">
        <f t="shared" si="4"/>
        <v>36</v>
      </c>
      <c r="L29" s="33">
        <f t="shared" si="5"/>
        <v>106</v>
      </c>
      <c r="M29" s="33">
        <f t="shared" si="6"/>
        <v>344520</v>
      </c>
      <c r="N29" s="33">
        <f t="shared" si="7"/>
        <v>7612.5</v>
      </c>
      <c r="O29" s="33">
        <f t="shared" si="8"/>
        <v>1050</v>
      </c>
      <c r="P29" s="33">
        <f t="shared" si="9"/>
        <v>353182.5</v>
      </c>
      <c r="Q29" s="35">
        <f t="shared" si="10"/>
        <v>24722775</v>
      </c>
    </row>
    <row r="30" spans="1:17" x14ac:dyDescent="0.3">
      <c r="A30" t="s">
        <v>63</v>
      </c>
      <c r="B30" s="10">
        <f>B20/(B11*B12)</f>
        <v>288.24833702882484</v>
      </c>
      <c r="E30" s="33">
        <v>6</v>
      </c>
      <c r="F30" s="33">
        <v>7</v>
      </c>
      <c r="G30" s="33">
        <f t="shared" si="0"/>
        <v>42</v>
      </c>
      <c r="H30" s="33">
        <f t="shared" si="1"/>
        <v>119.04761904761905</v>
      </c>
      <c r="I30" s="34">
        <f t="shared" si="2"/>
        <v>2.6000000000000002E-2</v>
      </c>
      <c r="J30" s="34">
        <f t="shared" si="3"/>
        <v>4.0000000000000001E-3</v>
      </c>
      <c r="K30" s="33">
        <f t="shared" si="4"/>
        <v>39</v>
      </c>
      <c r="L30" s="33">
        <f t="shared" si="5"/>
        <v>123</v>
      </c>
      <c r="M30" s="33">
        <f t="shared" si="6"/>
        <v>280805</v>
      </c>
      <c r="N30" s="33">
        <f t="shared" si="7"/>
        <v>8190.0000000000009</v>
      </c>
      <c r="O30" s="33">
        <f t="shared" si="8"/>
        <v>1260</v>
      </c>
      <c r="P30" s="33">
        <f t="shared" si="9"/>
        <v>290255</v>
      </c>
      <c r="Q30" s="35">
        <f t="shared" si="10"/>
        <v>20317850</v>
      </c>
    </row>
    <row r="31" spans="1:17" x14ac:dyDescent="0.3">
      <c r="A31" t="s">
        <v>73</v>
      </c>
      <c r="B31" s="23">
        <f>IF(B3*2&lt;16,5,IF(AND(B3*2&gt;=16, B3*2&lt;25),6, IF(AND(B3*2&gt;=25, B3*2&lt;40),8,IF(AND(B3*2&gt;=40, B3*2&lt;65),10, 12))))*10^-3</f>
        <v>0.01</v>
      </c>
      <c r="E31" s="33">
        <v>7</v>
      </c>
      <c r="F31" s="33">
        <v>7</v>
      </c>
      <c r="G31" s="33">
        <f t="shared" si="0"/>
        <v>49</v>
      </c>
      <c r="H31" s="33">
        <f t="shared" si="1"/>
        <v>102.04081632653062</v>
      </c>
      <c r="I31" s="34">
        <f t="shared" si="2"/>
        <v>2.4E-2</v>
      </c>
      <c r="J31" s="34">
        <f t="shared" si="3"/>
        <v>4.0000000000000001E-3</v>
      </c>
      <c r="K31" s="33">
        <f t="shared" si="4"/>
        <v>42</v>
      </c>
      <c r="L31" s="33">
        <f t="shared" si="5"/>
        <v>140</v>
      </c>
      <c r="M31" s="33">
        <f t="shared" si="6"/>
        <v>240975</v>
      </c>
      <c r="N31" s="33">
        <f t="shared" si="7"/>
        <v>8820</v>
      </c>
      <c r="O31" s="33">
        <f t="shared" si="8"/>
        <v>1470</v>
      </c>
      <c r="P31" s="33">
        <f t="shared" si="9"/>
        <v>251265</v>
      </c>
      <c r="Q31" s="35">
        <f t="shared" si="10"/>
        <v>17588550</v>
      </c>
    </row>
    <row r="32" spans="1:17" x14ac:dyDescent="0.3">
      <c r="E32" s="39">
        <v>1</v>
      </c>
      <c r="F32" s="39">
        <v>8</v>
      </c>
      <c r="G32" s="33">
        <f t="shared" ref="G32:G48" si="11">E32*F32</f>
        <v>8</v>
      </c>
      <c r="H32" s="33">
        <f t="shared" si="1"/>
        <v>625</v>
      </c>
      <c r="I32" s="34">
        <f t="shared" ref="I32:I48" si="12">НижняяТолщинаПрямоугольник($B$1,H32,E32,F32)</f>
        <v>0.11800000000000001</v>
      </c>
      <c r="J32" s="34">
        <f t="shared" ref="J32:J48" si="13">ВерхняяТолщинаПрямоугольник($B$1,H32,E32,F32)</f>
        <v>4.0000000000000001E-3</v>
      </c>
      <c r="K32" s="33">
        <f t="shared" ref="K32:K48" si="14">2*(E32*1.5+F32*1.5)</f>
        <v>27</v>
      </c>
      <c r="L32" s="33">
        <f t="shared" ref="L32:L48" si="15">G32*2+K32</f>
        <v>43</v>
      </c>
      <c r="M32" s="33">
        <f t="shared" ref="M32:M48" si="16">ВесСталиПрямоугольник($B$1,H32, E32, F32)</f>
        <v>4392645</v>
      </c>
      <c r="N32" s="33">
        <f t="shared" ref="N32:N48" si="17">(7500*G32*I32)</f>
        <v>7080.0000000000009</v>
      </c>
      <c r="O32" s="33">
        <f t="shared" ref="O32:O48" si="18">7500*G32*0.004</f>
        <v>240</v>
      </c>
      <c r="P32" s="33">
        <f t="shared" ref="P32:P48" si="19">M32+N32+O32</f>
        <v>4399965</v>
      </c>
      <c r="Q32" s="35">
        <f t="shared" si="10"/>
        <v>307997550</v>
      </c>
    </row>
    <row r="33" spans="5:17" x14ac:dyDescent="0.3">
      <c r="E33" s="39">
        <v>2</v>
      </c>
      <c r="F33" s="39">
        <v>8</v>
      </c>
      <c r="G33" s="33">
        <f t="shared" si="11"/>
        <v>16</v>
      </c>
      <c r="H33" s="33">
        <f t="shared" si="1"/>
        <v>312.5</v>
      </c>
      <c r="I33" s="34">
        <f t="shared" si="12"/>
        <v>6.0999999999999999E-2</v>
      </c>
      <c r="J33" s="34">
        <f t="shared" si="13"/>
        <v>4.0000000000000001E-3</v>
      </c>
      <c r="K33" s="33">
        <f t="shared" si="14"/>
        <v>30</v>
      </c>
      <c r="L33" s="33">
        <f t="shared" si="15"/>
        <v>62</v>
      </c>
      <c r="M33" s="33">
        <f t="shared" si="16"/>
        <v>1266075</v>
      </c>
      <c r="N33" s="33">
        <f t="shared" si="17"/>
        <v>7320</v>
      </c>
      <c r="O33" s="33">
        <f t="shared" si="18"/>
        <v>480</v>
      </c>
      <c r="P33" s="33">
        <f t="shared" si="19"/>
        <v>1273875</v>
      </c>
      <c r="Q33" s="35">
        <f t="shared" si="10"/>
        <v>89171250</v>
      </c>
    </row>
    <row r="34" spans="5:17" x14ac:dyDescent="0.3">
      <c r="E34" s="39">
        <v>3</v>
      </c>
      <c r="F34" s="39">
        <v>8</v>
      </c>
      <c r="G34" s="33">
        <f t="shared" si="11"/>
        <v>24</v>
      </c>
      <c r="H34" s="33">
        <f t="shared" si="1"/>
        <v>208.33333333333334</v>
      </c>
      <c r="I34" s="34">
        <f t="shared" si="12"/>
        <v>4.2000000000000003E-2</v>
      </c>
      <c r="J34" s="34">
        <f t="shared" si="13"/>
        <v>4.0000000000000001E-3</v>
      </c>
      <c r="K34" s="33">
        <f t="shared" si="14"/>
        <v>33</v>
      </c>
      <c r="L34" s="33">
        <f t="shared" si="15"/>
        <v>81</v>
      </c>
      <c r="M34" s="33">
        <f t="shared" si="16"/>
        <v>651668</v>
      </c>
      <c r="N34" s="33">
        <f t="shared" si="17"/>
        <v>7560.0000000000009</v>
      </c>
      <c r="O34" s="33">
        <f t="shared" si="18"/>
        <v>720</v>
      </c>
      <c r="P34" s="33">
        <f t="shared" si="19"/>
        <v>659948</v>
      </c>
      <c r="Q34" s="35">
        <f t="shared" si="10"/>
        <v>46196360</v>
      </c>
    </row>
    <row r="35" spans="5:17" x14ac:dyDescent="0.3">
      <c r="E35" s="39">
        <v>4</v>
      </c>
      <c r="F35" s="39">
        <v>8</v>
      </c>
      <c r="G35" s="33">
        <f t="shared" si="11"/>
        <v>32</v>
      </c>
      <c r="H35" s="33">
        <f t="shared" si="1"/>
        <v>156.25</v>
      </c>
      <c r="I35" s="34">
        <f t="shared" si="12"/>
        <v>3.3000000000000002E-2</v>
      </c>
      <c r="J35" s="34">
        <f t="shared" si="13"/>
        <v>4.0000000000000001E-3</v>
      </c>
      <c r="K35" s="33">
        <f t="shared" si="14"/>
        <v>36</v>
      </c>
      <c r="L35" s="33">
        <f t="shared" si="15"/>
        <v>100</v>
      </c>
      <c r="M35" s="33">
        <f t="shared" si="16"/>
        <v>424710</v>
      </c>
      <c r="N35" s="33">
        <f t="shared" si="17"/>
        <v>7920</v>
      </c>
      <c r="O35" s="33">
        <f t="shared" si="18"/>
        <v>960</v>
      </c>
      <c r="P35" s="33">
        <f t="shared" si="19"/>
        <v>433590</v>
      </c>
      <c r="Q35" s="35">
        <f t="shared" si="10"/>
        <v>30351300</v>
      </c>
    </row>
    <row r="36" spans="5:17" x14ac:dyDescent="0.3">
      <c r="E36" s="39">
        <v>5</v>
      </c>
      <c r="F36" s="39">
        <v>8</v>
      </c>
      <c r="G36" s="33">
        <f t="shared" si="11"/>
        <v>40</v>
      </c>
      <c r="H36" s="33">
        <f t="shared" si="1"/>
        <v>125</v>
      </c>
      <c r="I36" s="34">
        <f t="shared" si="12"/>
        <v>2.8000000000000001E-2</v>
      </c>
      <c r="J36" s="34">
        <f t="shared" si="13"/>
        <v>4.0000000000000001E-3</v>
      </c>
      <c r="K36" s="33">
        <f t="shared" si="14"/>
        <v>39</v>
      </c>
      <c r="L36" s="33">
        <f t="shared" si="15"/>
        <v>119</v>
      </c>
      <c r="M36" s="33">
        <f t="shared" si="16"/>
        <v>314736</v>
      </c>
      <c r="N36" s="33">
        <f t="shared" si="17"/>
        <v>8400</v>
      </c>
      <c r="O36" s="33">
        <f t="shared" si="18"/>
        <v>1200</v>
      </c>
      <c r="P36" s="33">
        <f t="shared" si="19"/>
        <v>324336</v>
      </c>
      <c r="Q36" s="35">
        <f t="shared" si="10"/>
        <v>22703520</v>
      </c>
    </row>
    <row r="37" spans="5:17" x14ac:dyDescent="0.3">
      <c r="E37" s="39">
        <v>6</v>
      </c>
      <c r="F37" s="39">
        <v>8</v>
      </c>
      <c r="G37" s="33">
        <f t="shared" si="11"/>
        <v>48</v>
      </c>
      <c r="H37" s="33">
        <f t="shared" si="1"/>
        <v>104.16666666666667</v>
      </c>
      <c r="I37" s="34">
        <f t="shared" si="12"/>
        <v>2.5000000000000001E-2</v>
      </c>
      <c r="J37" s="34">
        <f t="shared" si="13"/>
        <v>4.0000000000000001E-3</v>
      </c>
      <c r="K37" s="33">
        <f t="shared" si="14"/>
        <v>42</v>
      </c>
      <c r="L37" s="33">
        <f t="shared" si="15"/>
        <v>138</v>
      </c>
      <c r="M37" s="33">
        <f t="shared" si="16"/>
        <v>252945</v>
      </c>
      <c r="N37" s="33">
        <f t="shared" si="17"/>
        <v>9000</v>
      </c>
      <c r="O37" s="33">
        <f t="shared" si="18"/>
        <v>1440</v>
      </c>
      <c r="P37" s="33">
        <f t="shared" si="19"/>
        <v>263385</v>
      </c>
      <c r="Q37" s="35">
        <f t="shared" si="10"/>
        <v>18436950</v>
      </c>
    </row>
    <row r="38" spans="5:17" x14ac:dyDescent="0.3">
      <c r="E38" s="39">
        <v>7</v>
      </c>
      <c r="F38" s="39">
        <v>8</v>
      </c>
      <c r="G38" s="33">
        <f t="shared" si="11"/>
        <v>56</v>
      </c>
      <c r="H38" s="33">
        <f t="shared" si="1"/>
        <v>89.285714285714292</v>
      </c>
      <c r="I38" s="34">
        <f t="shared" si="12"/>
        <v>2.3E-2</v>
      </c>
      <c r="J38" s="34">
        <f t="shared" si="13"/>
        <v>4.0000000000000001E-3</v>
      </c>
      <c r="K38" s="33">
        <f t="shared" si="14"/>
        <v>45</v>
      </c>
      <c r="L38" s="33">
        <f t="shared" si="15"/>
        <v>157</v>
      </c>
      <c r="M38" s="33">
        <f t="shared" si="16"/>
        <v>215324</v>
      </c>
      <c r="N38" s="33">
        <f t="shared" si="17"/>
        <v>9660</v>
      </c>
      <c r="O38" s="33">
        <f t="shared" si="18"/>
        <v>1680</v>
      </c>
      <c r="P38" s="33">
        <f t="shared" si="19"/>
        <v>226664</v>
      </c>
      <c r="Q38" s="35">
        <f t="shared" si="10"/>
        <v>15866480</v>
      </c>
    </row>
    <row r="39" spans="5:17" x14ac:dyDescent="0.3">
      <c r="E39" s="39">
        <v>8</v>
      </c>
      <c r="F39" s="39">
        <v>8</v>
      </c>
      <c r="G39" s="33">
        <f t="shared" si="11"/>
        <v>64</v>
      </c>
      <c r="H39" s="33">
        <f t="shared" si="1"/>
        <v>78.125</v>
      </c>
      <c r="I39" s="34">
        <f t="shared" si="12"/>
        <v>2.1000000000000001E-2</v>
      </c>
      <c r="J39" s="34">
        <f t="shared" si="13"/>
        <v>4.0000000000000001E-3</v>
      </c>
      <c r="K39" s="33">
        <f t="shared" si="14"/>
        <v>48</v>
      </c>
      <c r="L39" s="33">
        <f t="shared" si="15"/>
        <v>176</v>
      </c>
      <c r="M39" s="33">
        <f t="shared" si="16"/>
        <v>187560</v>
      </c>
      <c r="N39" s="33">
        <f t="shared" si="17"/>
        <v>10080</v>
      </c>
      <c r="O39" s="33">
        <f t="shared" si="18"/>
        <v>1920</v>
      </c>
      <c r="P39" s="33">
        <f t="shared" si="19"/>
        <v>199560</v>
      </c>
      <c r="Q39" s="35">
        <f t="shared" si="10"/>
        <v>13969200</v>
      </c>
    </row>
    <row r="40" spans="5:17" x14ac:dyDescent="0.3">
      <c r="E40" s="39">
        <v>1</v>
      </c>
      <c r="F40" s="39">
        <v>9</v>
      </c>
      <c r="G40" s="33">
        <f t="shared" si="11"/>
        <v>9</v>
      </c>
      <c r="H40" s="33">
        <f t="shared" si="1"/>
        <v>555.55555555555554</v>
      </c>
      <c r="I40" s="34">
        <f t="shared" si="12"/>
        <v>0.11800000000000001</v>
      </c>
      <c r="J40" s="34">
        <f t="shared" si="13"/>
        <v>4.0000000000000001E-3</v>
      </c>
      <c r="K40" s="33">
        <f t="shared" si="14"/>
        <v>30</v>
      </c>
      <c r="L40" s="33">
        <f t="shared" si="15"/>
        <v>48</v>
      </c>
      <c r="M40" s="33">
        <f t="shared" si="16"/>
        <v>4333050</v>
      </c>
      <c r="N40" s="33">
        <f t="shared" si="17"/>
        <v>7965.0000000000009</v>
      </c>
      <c r="O40" s="33">
        <f t="shared" si="18"/>
        <v>270</v>
      </c>
      <c r="P40" s="33">
        <f t="shared" si="19"/>
        <v>4341285</v>
      </c>
      <c r="Q40" s="35">
        <f t="shared" si="10"/>
        <v>303889950</v>
      </c>
    </row>
    <row r="41" spans="5:17" x14ac:dyDescent="0.3">
      <c r="E41" s="39">
        <v>2</v>
      </c>
      <c r="F41" s="39">
        <v>9</v>
      </c>
      <c r="G41" s="33">
        <f t="shared" si="11"/>
        <v>18</v>
      </c>
      <c r="H41" s="33">
        <f t="shared" si="1"/>
        <v>277.77777777777777</v>
      </c>
      <c r="I41" s="34">
        <f t="shared" si="12"/>
        <v>0.06</v>
      </c>
      <c r="J41" s="34">
        <f t="shared" si="13"/>
        <v>4.0000000000000001E-3</v>
      </c>
      <c r="K41" s="33">
        <f t="shared" si="14"/>
        <v>33</v>
      </c>
      <c r="L41" s="33">
        <f t="shared" si="15"/>
        <v>69</v>
      </c>
      <c r="M41" s="33">
        <f t="shared" si="16"/>
        <v>1231808</v>
      </c>
      <c r="N41" s="33">
        <f t="shared" si="17"/>
        <v>8100</v>
      </c>
      <c r="O41" s="33">
        <f t="shared" si="18"/>
        <v>540</v>
      </c>
      <c r="P41" s="33">
        <f t="shared" si="19"/>
        <v>1240448</v>
      </c>
      <c r="Q41" s="35">
        <f t="shared" si="10"/>
        <v>86831360</v>
      </c>
    </row>
    <row r="42" spans="5:17" x14ac:dyDescent="0.3">
      <c r="E42" s="39">
        <v>3</v>
      </c>
      <c r="F42" s="39">
        <v>9</v>
      </c>
      <c r="G42" s="33">
        <f t="shared" si="11"/>
        <v>27</v>
      </c>
      <c r="H42" s="33">
        <f t="shared" si="1"/>
        <v>185.18518518518519</v>
      </c>
      <c r="I42" s="34">
        <f t="shared" si="12"/>
        <v>4.1000000000000002E-2</v>
      </c>
      <c r="J42" s="34">
        <f t="shared" si="13"/>
        <v>4.0000000000000001E-3</v>
      </c>
      <c r="K42" s="33">
        <f t="shared" si="14"/>
        <v>36</v>
      </c>
      <c r="L42" s="33">
        <f t="shared" si="15"/>
        <v>90</v>
      </c>
      <c r="M42" s="33">
        <f t="shared" si="16"/>
        <v>624240</v>
      </c>
      <c r="N42" s="33">
        <f t="shared" si="17"/>
        <v>8302.5</v>
      </c>
      <c r="O42" s="33">
        <f t="shared" si="18"/>
        <v>810</v>
      </c>
      <c r="P42" s="33">
        <f t="shared" si="19"/>
        <v>633352.5</v>
      </c>
      <c r="Q42" s="35">
        <f t="shared" si="10"/>
        <v>44334675</v>
      </c>
    </row>
    <row r="43" spans="5:17" x14ac:dyDescent="0.3">
      <c r="E43" s="39">
        <v>4</v>
      </c>
      <c r="F43" s="39">
        <v>9</v>
      </c>
      <c r="G43" s="33">
        <f t="shared" si="11"/>
        <v>36</v>
      </c>
      <c r="H43" s="33">
        <f t="shared" si="1"/>
        <v>138.88888888888889</v>
      </c>
      <c r="I43" s="34">
        <f t="shared" si="12"/>
        <v>3.2000000000000001E-2</v>
      </c>
      <c r="J43" s="34">
        <f t="shared" si="13"/>
        <v>4.0000000000000001E-3</v>
      </c>
      <c r="K43" s="33">
        <f t="shared" si="14"/>
        <v>39</v>
      </c>
      <c r="L43" s="33">
        <f t="shared" si="15"/>
        <v>111</v>
      </c>
      <c r="M43" s="33">
        <f t="shared" si="16"/>
        <v>402194</v>
      </c>
      <c r="N43" s="33">
        <f t="shared" si="17"/>
        <v>8640</v>
      </c>
      <c r="O43" s="33">
        <f t="shared" si="18"/>
        <v>1080</v>
      </c>
      <c r="P43" s="33">
        <f t="shared" si="19"/>
        <v>411914</v>
      </c>
      <c r="Q43" s="35">
        <f t="shared" si="10"/>
        <v>28833980</v>
      </c>
    </row>
    <row r="44" spans="5:17" x14ac:dyDescent="0.3">
      <c r="E44" s="39">
        <v>5</v>
      </c>
      <c r="F44" s="39">
        <v>9</v>
      </c>
      <c r="G44" s="33">
        <f t="shared" si="11"/>
        <v>45</v>
      </c>
      <c r="H44" s="33">
        <f t="shared" si="1"/>
        <v>111.11111111111111</v>
      </c>
      <c r="I44" s="34">
        <f t="shared" si="12"/>
        <v>2.7E-2</v>
      </c>
      <c r="J44" s="34">
        <f t="shared" si="13"/>
        <v>4.0000000000000001E-3</v>
      </c>
      <c r="K44" s="33">
        <f t="shared" si="14"/>
        <v>42</v>
      </c>
      <c r="L44" s="33">
        <f t="shared" si="15"/>
        <v>132</v>
      </c>
      <c r="M44" s="33">
        <f t="shared" si="16"/>
        <v>293895</v>
      </c>
      <c r="N44" s="33">
        <f t="shared" si="17"/>
        <v>9112.5</v>
      </c>
      <c r="O44" s="33">
        <f t="shared" si="18"/>
        <v>1350</v>
      </c>
      <c r="P44" s="33">
        <f t="shared" si="19"/>
        <v>304357.5</v>
      </c>
      <c r="Q44" s="35">
        <f t="shared" si="10"/>
        <v>21305025</v>
      </c>
    </row>
    <row r="45" spans="5:17" x14ac:dyDescent="0.3">
      <c r="E45" s="39">
        <v>6</v>
      </c>
      <c r="F45" s="39">
        <v>9</v>
      </c>
      <c r="G45" s="33">
        <f t="shared" si="11"/>
        <v>54</v>
      </c>
      <c r="H45" s="33">
        <f t="shared" si="1"/>
        <v>92.592592592592595</v>
      </c>
      <c r="I45" s="34">
        <f t="shared" si="12"/>
        <v>2.4E-2</v>
      </c>
      <c r="J45" s="34">
        <f t="shared" si="13"/>
        <v>4.0000000000000001E-3</v>
      </c>
      <c r="K45" s="33">
        <f t="shared" si="14"/>
        <v>45</v>
      </c>
      <c r="L45" s="33">
        <f t="shared" si="15"/>
        <v>153</v>
      </c>
      <c r="M45" s="33">
        <f t="shared" si="16"/>
        <v>233888</v>
      </c>
      <c r="N45" s="33">
        <f t="shared" si="17"/>
        <v>9720</v>
      </c>
      <c r="O45" s="33">
        <f t="shared" si="18"/>
        <v>1620</v>
      </c>
      <c r="P45" s="33">
        <f t="shared" si="19"/>
        <v>245228</v>
      </c>
      <c r="Q45" s="35">
        <f t="shared" si="10"/>
        <v>17165960</v>
      </c>
    </row>
    <row r="46" spans="5:17" x14ac:dyDescent="0.3">
      <c r="E46" s="39">
        <v>7</v>
      </c>
      <c r="F46" s="39">
        <v>9</v>
      </c>
      <c r="G46" s="33">
        <f t="shared" si="11"/>
        <v>63</v>
      </c>
      <c r="H46" s="33">
        <f t="shared" si="1"/>
        <v>79.365079365079367</v>
      </c>
      <c r="I46" s="34">
        <f t="shared" si="12"/>
        <v>2.2000000000000002E-2</v>
      </c>
      <c r="J46" s="34">
        <f t="shared" si="13"/>
        <v>4.0000000000000001E-3</v>
      </c>
      <c r="K46" s="33">
        <f t="shared" si="14"/>
        <v>48</v>
      </c>
      <c r="L46" s="33">
        <f t="shared" si="15"/>
        <v>174</v>
      </c>
      <c r="M46" s="33">
        <f t="shared" si="16"/>
        <v>195480</v>
      </c>
      <c r="N46" s="33">
        <f t="shared" si="17"/>
        <v>10395.000000000002</v>
      </c>
      <c r="O46" s="33">
        <f t="shared" si="18"/>
        <v>1890</v>
      </c>
      <c r="P46" s="33">
        <f t="shared" si="19"/>
        <v>207765</v>
      </c>
      <c r="Q46" s="35">
        <f t="shared" si="10"/>
        <v>14543549.999999998</v>
      </c>
    </row>
    <row r="47" spans="5:17" x14ac:dyDescent="0.3">
      <c r="E47" s="39">
        <v>8</v>
      </c>
      <c r="F47" s="39">
        <v>9</v>
      </c>
      <c r="G47" s="33">
        <f t="shared" si="11"/>
        <v>72</v>
      </c>
      <c r="H47" s="33">
        <f t="shared" si="1"/>
        <v>69.444444444444443</v>
      </c>
      <c r="I47" s="34">
        <f t="shared" si="12"/>
        <v>0.02</v>
      </c>
      <c r="J47" s="34">
        <f t="shared" si="13"/>
        <v>4.0000000000000001E-3</v>
      </c>
      <c r="K47" s="33">
        <f t="shared" si="14"/>
        <v>51</v>
      </c>
      <c r="L47" s="33">
        <f t="shared" si="15"/>
        <v>195</v>
      </c>
      <c r="M47" s="33">
        <f t="shared" si="16"/>
        <v>168686</v>
      </c>
      <c r="N47" s="33">
        <f t="shared" si="17"/>
        <v>10800</v>
      </c>
      <c r="O47" s="33">
        <f t="shared" si="18"/>
        <v>2160</v>
      </c>
      <c r="P47" s="33">
        <f t="shared" si="19"/>
        <v>181646</v>
      </c>
      <c r="Q47" s="35">
        <f t="shared" si="10"/>
        <v>12715219.999999998</v>
      </c>
    </row>
    <row r="48" spans="5:17" x14ac:dyDescent="0.3">
      <c r="E48" s="39">
        <v>9</v>
      </c>
      <c r="F48" s="39">
        <v>9</v>
      </c>
      <c r="G48" s="33">
        <f t="shared" si="11"/>
        <v>81</v>
      </c>
      <c r="H48" s="33">
        <f t="shared" si="1"/>
        <v>61.728395061728392</v>
      </c>
      <c r="I48" s="34">
        <f t="shared" si="12"/>
        <v>1.9E-2</v>
      </c>
      <c r="J48" s="34">
        <f t="shared" si="13"/>
        <v>4.0000000000000001E-3</v>
      </c>
      <c r="K48" s="33">
        <f t="shared" si="14"/>
        <v>54</v>
      </c>
      <c r="L48" s="33">
        <f t="shared" si="15"/>
        <v>216</v>
      </c>
      <c r="M48" s="33">
        <f t="shared" si="16"/>
        <v>151470</v>
      </c>
      <c r="N48" s="33">
        <f t="shared" si="17"/>
        <v>11542.5</v>
      </c>
      <c r="O48" s="33">
        <f t="shared" si="18"/>
        <v>2430</v>
      </c>
      <c r="P48" s="33">
        <f t="shared" si="19"/>
        <v>165442.5</v>
      </c>
      <c r="Q48" s="35">
        <f t="shared" si="10"/>
        <v>11580975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068FA-50BC-473A-987A-2A40AF0E9289}">
  <sheetPr codeName="Лист5"/>
  <dimension ref="B1:X138"/>
  <sheetViews>
    <sheetView zoomScale="70" zoomScaleNormal="70" workbookViewId="0">
      <selection activeCell="F3" sqref="F3"/>
    </sheetView>
  </sheetViews>
  <sheetFormatPr defaultRowHeight="14.4" x14ac:dyDescent="0.3"/>
  <cols>
    <col min="2" max="2" width="33.33203125" customWidth="1"/>
    <col min="3" max="3" width="12" bestFit="1" customWidth="1"/>
    <col min="7" max="7" width="9.6640625" customWidth="1"/>
    <col min="8" max="8" width="12.33203125" customWidth="1"/>
    <col min="9" max="9" width="10.44140625" customWidth="1"/>
    <col min="12" max="12" width="13.6640625" customWidth="1"/>
    <col min="13" max="18" width="18" customWidth="1"/>
    <col min="19" max="22" width="24.44140625" customWidth="1"/>
  </cols>
  <sheetData>
    <row r="1" spans="2:24" ht="30.6" customHeight="1" x14ac:dyDescent="0.3">
      <c r="E1" s="5" t="s">
        <v>8</v>
      </c>
      <c r="F1" s="5" t="s">
        <v>9</v>
      </c>
      <c r="G1" s="5" t="s">
        <v>10</v>
      </c>
      <c r="H1" s="5" t="s">
        <v>2</v>
      </c>
      <c r="I1" s="5" t="s">
        <v>11</v>
      </c>
      <c r="J1" s="5" t="s">
        <v>12</v>
      </c>
      <c r="K1" s="5" t="s">
        <v>13</v>
      </c>
      <c r="L1" s="5" t="s">
        <v>14</v>
      </c>
      <c r="M1" s="6" t="s">
        <v>23</v>
      </c>
      <c r="N1" s="11" t="s">
        <v>42</v>
      </c>
      <c r="O1" s="11" t="s">
        <v>45</v>
      </c>
      <c r="P1" s="11" t="s">
        <v>46</v>
      </c>
      <c r="Q1" s="11" t="s">
        <v>47</v>
      </c>
      <c r="R1" s="11" t="s">
        <v>43</v>
      </c>
      <c r="S1" s="11" t="s">
        <v>41</v>
      </c>
      <c r="T1" s="12" t="s">
        <v>26</v>
      </c>
      <c r="U1" s="12" t="s">
        <v>44</v>
      </c>
      <c r="V1" s="12" t="s">
        <v>25</v>
      </c>
    </row>
    <row r="2" spans="2:24" x14ac:dyDescent="0.3">
      <c r="B2" s="1" t="s">
        <v>0</v>
      </c>
      <c r="C2" s="1" t="s">
        <v>1</v>
      </c>
      <c r="D2" s="1"/>
      <c r="E2" s="1">
        <v>3.14</v>
      </c>
      <c r="F2" s="1">
        <v>1</v>
      </c>
      <c r="G2" s="1">
        <f>E2*F2^2</f>
        <v>3.14</v>
      </c>
      <c r="H2" s="1">
        <f>2*E2*F2</f>
        <v>6.28</v>
      </c>
      <c r="I2" s="1">
        <f>H2*J2</f>
        <v>10000</v>
      </c>
      <c r="J2" s="1">
        <f>K2/G2</f>
        <v>1592.3566878980891</v>
      </c>
      <c r="K2" s="1">
        <v>5000</v>
      </c>
      <c r="L2" s="3">
        <f>(G2*2)+I2</f>
        <v>10006.280000000001</v>
      </c>
      <c r="M2" s="9">
        <f>$C$8*J2*0.85*9.81*10^-6</f>
        <v>11.286186305732482</v>
      </c>
      <c r="N2" s="9">
        <f>J2/1.5</f>
        <v>1061.5711252653928</v>
      </c>
      <c r="O2" s="9"/>
      <c r="P2" s="9"/>
      <c r="Q2" s="9"/>
      <c r="R2" s="9"/>
      <c r="S2" s="17">
        <f t="shared" ref="S2:S19" si="0">(1.05*900*9.81*(J2-2)+1.2*2000)*F2/(0.8*293*10^6)</f>
        <v>6.2908370978348296E-2</v>
      </c>
      <c r="T2" s="20">
        <f t="shared" ref="T2:T18" si="1">(1.05*900*9.81*(J2-0)+1.2*2000)*F2/(0.7*293*10^6)</f>
        <v>7.1985680435518493E-2</v>
      </c>
      <c r="U2" s="10">
        <f t="shared" ref="U2:U16" si="2">L2*7*10^-3</f>
        <v>70.043960000000013</v>
      </c>
      <c r="V2" s="19">
        <f>U2*53000</f>
        <v>3712329.8800000008</v>
      </c>
    </row>
    <row r="3" spans="2:24" x14ac:dyDescent="0.3">
      <c r="B3" s="1" t="s">
        <v>2</v>
      </c>
      <c r="C3" s="1" t="s">
        <v>3</v>
      </c>
      <c r="D3" s="1"/>
      <c r="E3" s="1">
        <v>3.14</v>
      </c>
      <c r="F3" s="1">
        <v>2</v>
      </c>
      <c r="G3" s="1">
        <f>E3*F3^2</f>
        <v>12.56</v>
      </c>
      <c r="H3" s="1">
        <f t="shared" ref="H3:H66" si="3">2*E3*F3</f>
        <v>12.56</v>
      </c>
      <c r="I3" s="1">
        <f t="shared" ref="I3:I65" si="4">H3*J3</f>
        <v>5000</v>
      </c>
      <c r="J3" s="1">
        <f t="shared" ref="J3" si="5">K3/G3</f>
        <v>398.08917197452229</v>
      </c>
      <c r="K3" s="1">
        <v>5000</v>
      </c>
      <c r="L3" s="3">
        <f t="shared" ref="L3:L66" si="6">(G3*2)+I3</f>
        <v>5025.12</v>
      </c>
      <c r="M3" s="9">
        <f t="shared" ref="M3:M66" si="7">$C$8*J3*0.85*9.81*10^-6</f>
        <v>2.8215465764331205</v>
      </c>
      <c r="N3" s="9">
        <f>J3/1.5</f>
        <v>265.39278131634819</v>
      </c>
      <c r="O3" s="9"/>
      <c r="P3" s="9"/>
      <c r="Q3" s="9"/>
      <c r="R3" s="9"/>
      <c r="S3" s="17">
        <f t="shared" si="0"/>
        <v>3.1350894746853333E-2</v>
      </c>
      <c r="T3" s="20">
        <f t="shared" si="1"/>
        <v>3.6010392631216095E-2</v>
      </c>
      <c r="U3" s="10">
        <f t="shared" si="2"/>
        <v>35.175839999999994</v>
      </c>
      <c r="V3" s="19">
        <f>U3*53000</f>
        <v>1864319.5199999998</v>
      </c>
      <c r="X3">
        <f>((3*5000)/(4*PI()))^(1/3)</f>
        <v>10.60784417947055</v>
      </c>
    </row>
    <row r="4" spans="2:24" x14ac:dyDescent="0.3">
      <c r="B4" s="1" t="s">
        <v>4</v>
      </c>
      <c r="C4" s="1" t="s">
        <v>5</v>
      </c>
      <c r="D4" s="1"/>
      <c r="E4" s="1">
        <v>3.14</v>
      </c>
      <c r="F4" s="1">
        <v>3</v>
      </c>
      <c r="G4" s="1">
        <f t="shared" ref="G4:G67" si="8">E4*F4^2</f>
        <v>28.26</v>
      </c>
      <c r="H4" s="1">
        <f t="shared" si="3"/>
        <v>18.84</v>
      </c>
      <c r="I4" s="1">
        <f>H4*J4</f>
        <v>3333.3333333333335</v>
      </c>
      <c r="J4" s="1">
        <f>K4/G4</f>
        <v>176.92852087756546</v>
      </c>
      <c r="K4" s="1">
        <v>5000</v>
      </c>
      <c r="L4" s="3">
        <f>(G4*2)+I4</f>
        <v>3389.8533333333335</v>
      </c>
      <c r="M4" s="9">
        <f t="shared" si="7"/>
        <v>1.2540207006369426</v>
      </c>
      <c r="N4" s="9">
        <f>J4/1.5</f>
        <v>117.95234725171031</v>
      </c>
      <c r="O4" s="9"/>
      <c r="P4" s="9"/>
      <c r="Q4" s="9"/>
      <c r="R4" s="9"/>
      <c r="S4" s="17">
        <f t="shared" si="0"/>
        <v>2.0785829006434647E-2</v>
      </c>
      <c r="T4" s="20">
        <f t="shared" si="1"/>
        <v>2.4026431102429451E-2</v>
      </c>
      <c r="U4" s="10">
        <f t="shared" si="2"/>
        <v>23.728973333333336</v>
      </c>
      <c r="V4" s="19">
        <f t="shared" ref="V4:V16" si="9">U4*53000</f>
        <v>1257635.5866666669</v>
      </c>
      <c r="X4">
        <f>1.98*10*10^3/(2*233.3)</f>
        <v>42.434633519074154</v>
      </c>
    </row>
    <row r="5" spans="2:24" x14ac:dyDescent="0.3">
      <c r="B5" s="1" t="s">
        <v>6</v>
      </c>
      <c r="C5" s="2" t="s">
        <v>7</v>
      </c>
      <c r="D5" s="1"/>
      <c r="E5" s="1">
        <v>3.14</v>
      </c>
      <c r="F5" s="1">
        <v>4</v>
      </c>
      <c r="G5" s="1">
        <f>E5*F5^2</f>
        <v>50.24</v>
      </c>
      <c r="H5" s="1">
        <f t="shared" si="3"/>
        <v>25.12</v>
      </c>
      <c r="I5" s="1">
        <f t="shared" si="4"/>
        <v>2500</v>
      </c>
      <c r="J5" s="1">
        <f t="shared" ref="J5:J66" si="10">K5/G5</f>
        <v>99.522292993630572</v>
      </c>
      <c r="K5" s="1">
        <v>5000</v>
      </c>
      <c r="L5" s="3">
        <f t="shared" si="6"/>
        <v>2600.48</v>
      </c>
      <c r="M5" s="9">
        <f t="shared" si="7"/>
        <v>0.70538664410828011</v>
      </c>
      <c r="N5" s="9">
        <f t="shared" ref="N5:N68" si="11">J5/1.5</f>
        <v>66.348195329087048</v>
      </c>
      <c r="O5" s="9"/>
      <c r="P5" s="9"/>
      <c r="Q5" s="9"/>
      <c r="R5" s="9"/>
      <c r="S5" s="17">
        <f t="shared" si="0"/>
        <v>1.5468865888785027E-2</v>
      </c>
      <c r="T5" s="20">
        <f t="shared" si="1"/>
        <v>1.8040301142521746E-2</v>
      </c>
      <c r="U5" s="10">
        <f t="shared" si="2"/>
        <v>18.20336</v>
      </c>
      <c r="V5" s="19">
        <f t="shared" si="9"/>
        <v>964778.08</v>
      </c>
    </row>
    <row r="6" spans="2:24" x14ac:dyDescent="0.3">
      <c r="E6" s="1">
        <v>3.14</v>
      </c>
      <c r="F6" s="1">
        <v>5</v>
      </c>
      <c r="G6" s="1">
        <f t="shared" si="8"/>
        <v>78.5</v>
      </c>
      <c r="H6" s="1">
        <f t="shared" si="3"/>
        <v>31.400000000000002</v>
      </c>
      <c r="I6" s="1">
        <f t="shared" si="4"/>
        <v>2000</v>
      </c>
      <c r="J6" s="1">
        <f t="shared" si="10"/>
        <v>63.694267515923563</v>
      </c>
      <c r="K6" s="1">
        <v>5000</v>
      </c>
      <c r="L6" s="3">
        <f t="shared" si="6"/>
        <v>2157</v>
      </c>
      <c r="M6" s="9">
        <f t="shared" si="7"/>
        <v>0.45144745222929933</v>
      </c>
      <c r="N6" s="9">
        <f t="shared" si="11"/>
        <v>42.462845010615709</v>
      </c>
      <c r="O6" s="9"/>
      <c r="P6" s="9"/>
      <c r="Q6" s="9"/>
      <c r="R6" s="9"/>
      <c r="S6" s="17">
        <f t="shared" si="0"/>
        <v>1.2251143820243037E-2</v>
      </c>
      <c r="T6" s="20">
        <f t="shared" si="1"/>
        <v>1.4453303810165616E-2</v>
      </c>
      <c r="U6" s="10">
        <f t="shared" si="2"/>
        <v>15.099</v>
      </c>
      <c r="V6" s="19">
        <f t="shared" si="9"/>
        <v>800247</v>
      </c>
      <c r="X6">
        <f>PI()*(F2*2)^2*J2*7800/4000/1000</f>
        <v>39.019781366242654</v>
      </c>
    </row>
    <row r="7" spans="2:24" x14ac:dyDescent="0.3">
      <c r="B7" s="1" t="s">
        <v>17</v>
      </c>
      <c r="C7" s="1" t="s">
        <v>15</v>
      </c>
      <c r="E7" s="1">
        <v>3.14</v>
      </c>
      <c r="F7" s="1">
        <v>6</v>
      </c>
      <c r="G7" s="1">
        <f t="shared" si="8"/>
        <v>113.04</v>
      </c>
      <c r="H7" s="1">
        <f t="shared" si="3"/>
        <v>37.68</v>
      </c>
      <c r="I7" s="1">
        <f t="shared" si="4"/>
        <v>1666.6666666666667</v>
      </c>
      <c r="J7" s="1">
        <f t="shared" si="10"/>
        <v>44.232130219391365</v>
      </c>
      <c r="K7" s="1">
        <v>5000</v>
      </c>
      <c r="L7" s="3">
        <f t="shared" si="6"/>
        <v>1892.7466666666667</v>
      </c>
      <c r="M7" s="9">
        <f t="shared" si="7"/>
        <v>0.31350517515923565</v>
      </c>
      <c r="N7" s="9">
        <f t="shared" si="11"/>
        <v>29.488086812927577</v>
      </c>
      <c r="O7" s="9"/>
      <c r="P7" s="9"/>
      <c r="Q7" s="9"/>
      <c r="R7" s="9"/>
      <c r="S7" s="17">
        <f t="shared" si="0"/>
        <v>1.0083042276254863E-2</v>
      </c>
      <c r="T7" s="20">
        <f t="shared" si="1"/>
        <v>1.2065872791585277E-2</v>
      </c>
      <c r="U7" s="10">
        <f t="shared" si="2"/>
        <v>13.249226666666667</v>
      </c>
      <c r="V7" s="19">
        <f t="shared" si="9"/>
        <v>702209.01333333331</v>
      </c>
    </row>
    <row r="8" spans="2:24" x14ac:dyDescent="0.3">
      <c r="B8" s="1" t="s">
        <v>16</v>
      </c>
      <c r="C8">
        <v>850</v>
      </c>
      <c r="E8" s="1">
        <v>3.14</v>
      </c>
      <c r="F8" s="1">
        <v>7</v>
      </c>
      <c r="G8" s="1">
        <f t="shared" si="8"/>
        <v>153.86000000000001</v>
      </c>
      <c r="H8" s="1">
        <f t="shared" si="3"/>
        <v>43.96</v>
      </c>
      <c r="I8" s="1">
        <f t="shared" si="4"/>
        <v>1428.5714285714284</v>
      </c>
      <c r="J8" s="1">
        <f t="shared" si="10"/>
        <v>32.497075263226307</v>
      </c>
      <c r="K8" s="1">
        <v>5000</v>
      </c>
      <c r="L8" s="3">
        <f t="shared" si="6"/>
        <v>1736.2914285714285</v>
      </c>
      <c r="M8" s="9">
        <f t="shared" si="7"/>
        <v>0.23033033277005066</v>
      </c>
      <c r="N8" s="9">
        <f t="shared" si="11"/>
        <v>21.66471684215087</v>
      </c>
      <c r="O8" s="9"/>
      <c r="P8" s="9"/>
      <c r="Q8" s="9"/>
      <c r="R8" s="9"/>
      <c r="S8" s="17">
        <f t="shared" si="0"/>
        <v>8.5147238891545834E-3</v>
      </c>
      <c r="T8" s="20">
        <f t="shared" si="1"/>
        <v>1.0363908238019671E-2</v>
      </c>
      <c r="U8" s="10">
        <f t="shared" si="2"/>
        <v>12.15404</v>
      </c>
      <c r="V8" s="19">
        <f t="shared" si="9"/>
        <v>644164.12</v>
      </c>
    </row>
    <row r="9" spans="2:24" x14ac:dyDescent="0.3">
      <c r="B9" s="1" t="s">
        <v>18</v>
      </c>
      <c r="C9">
        <v>100</v>
      </c>
      <c r="E9" s="1">
        <v>3.14</v>
      </c>
      <c r="F9" s="1">
        <v>8</v>
      </c>
      <c r="G9" s="1">
        <f t="shared" si="8"/>
        <v>200.96</v>
      </c>
      <c r="H9" s="1">
        <f t="shared" si="3"/>
        <v>50.24</v>
      </c>
      <c r="I9" s="1">
        <f t="shared" si="4"/>
        <v>1250</v>
      </c>
      <c r="J9" s="1">
        <f t="shared" si="10"/>
        <v>24.880573248407643</v>
      </c>
      <c r="K9" s="1">
        <v>5000</v>
      </c>
      <c r="L9" s="3">
        <f t="shared" si="6"/>
        <v>1651.92</v>
      </c>
      <c r="M9" s="9">
        <f t="shared" si="7"/>
        <v>0.17634666102707003</v>
      </c>
      <c r="N9" s="9">
        <f t="shared" si="11"/>
        <v>16.587048832271762</v>
      </c>
      <c r="O9" s="9"/>
      <c r="P9" s="9"/>
      <c r="Q9" s="9"/>
      <c r="R9" s="9"/>
      <c r="S9" s="17">
        <f t="shared" si="0"/>
        <v>7.3212699751092373E-3</v>
      </c>
      <c r="T9" s="20">
        <f t="shared" si="1"/>
        <v>9.0903602250882749E-3</v>
      </c>
      <c r="U9" s="10">
        <f t="shared" si="2"/>
        <v>11.56344</v>
      </c>
      <c r="V9" s="19">
        <f t="shared" si="9"/>
        <v>612862.31999999995</v>
      </c>
    </row>
    <row r="10" spans="2:24" s="14" customFormat="1" x14ac:dyDescent="0.3">
      <c r="B10" s="13" t="s">
        <v>19</v>
      </c>
      <c r="C10" s="14">
        <v>2</v>
      </c>
      <c r="E10" s="13">
        <v>3.14</v>
      </c>
      <c r="F10" s="13">
        <v>9</v>
      </c>
      <c r="G10" s="13">
        <f>E10*F10^2</f>
        <v>254.34</v>
      </c>
      <c r="H10" s="13">
        <f>2*E10*F10</f>
        <v>56.52</v>
      </c>
      <c r="I10" s="13">
        <f>H10*J10</f>
        <v>1111.1111111111111</v>
      </c>
      <c r="J10" s="13">
        <f>K10/G10</f>
        <v>19.658724541951717</v>
      </c>
      <c r="K10" s="13">
        <v>5000</v>
      </c>
      <c r="L10" s="4">
        <f>(G10*2)+I10</f>
        <v>1619.7911111111111</v>
      </c>
      <c r="M10" s="15">
        <f t="shared" si="7"/>
        <v>0.13933563340410474</v>
      </c>
      <c r="N10" s="9">
        <f t="shared" si="11"/>
        <v>13.105816361301144</v>
      </c>
      <c r="O10" s="9"/>
      <c r="P10" s="9"/>
      <c r="Q10" s="9"/>
      <c r="R10" s="9"/>
      <c r="S10" s="17">
        <f t="shared" si="0"/>
        <v>6.3777257097671789E-3</v>
      </c>
      <c r="T10" s="20">
        <f t="shared" si="1"/>
        <v>8.1024232392463529E-3</v>
      </c>
      <c r="U10" s="10">
        <f t="shared" si="2"/>
        <v>11.338537777777779</v>
      </c>
      <c r="V10" s="21">
        <f t="shared" si="9"/>
        <v>600942.50222222228</v>
      </c>
    </row>
    <row r="11" spans="2:24" x14ac:dyDescent="0.3">
      <c r="C11" s="7">
        <f>402.1</f>
        <v>402.1</v>
      </c>
      <c r="E11" s="1">
        <v>3.14</v>
      </c>
      <c r="F11" s="1">
        <v>10</v>
      </c>
      <c r="G11" s="1">
        <f t="shared" si="8"/>
        <v>314</v>
      </c>
      <c r="H11" s="1">
        <f t="shared" si="3"/>
        <v>62.800000000000004</v>
      </c>
      <c r="I11" s="1">
        <f t="shared" si="4"/>
        <v>1000</v>
      </c>
      <c r="J11" s="1">
        <f t="shared" si="10"/>
        <v>15.923566878980891</v>
      </c>
      <c r="K11" s="1">
        <v>5000</v>
      </c>
      <c r="L11" s="3">
        <f t="shared" si="6"/>
        <v>1628</v>
      </c>
      <c r="M11" s="9">
        <f t="shared" si="7"/>
        <v>0.11286186305732483</v>
      </c>
      <c r="N11" s="9">
        <f t="shared" si="11"/>
        <v>10.615711252653927</v>
      </c>
      <c r="O11" s="9"/>
      <c r="P11" s="9"/>
      <c r="Q11" s="9"/>
      <c r="R11" s="9"/>
      <c r="S11" s="17">
        <f t="shared" si="0"/>
        <v>5.6091181985174227E-3</v>
      </c>
      <c r="T11" s="20">
        <f t="shared" si="1"/>
        <v>7.3144139723670598E-3</v>
      </c>
      <c r="U11" s="10">
        <f t="shared" si="2"/>
        <v>11.396000000000001</v>
      </c>
      <c r="V11" s="19">
        <f t="shared" si="9"/>
        <v>603988</v>
      </c>
    </row>
    <row r="12" spans="2:24" ht="15.6" x14ac:dyDescent="0.3">
      <c r="C12" s="8">
        <f>143*10^6</f>
        <v>143000000</v>
      </c>
      <c r="E12" s="1">
        <v>3.14</v>
      </c>
      <c r="F12" s="1">
        <v>11</v>
      </c>
      <c r="G12" s="1">
        <f t="shared" si="8"/>
        <v>379.94</v>
      </c>
      <c r="H12" s="1">
        <f t="shared" si="3"/>
        <v>69.08</v>
      </c>
      <c r="I12" s="1">
        <f t="shared" si="4"/>
        <v>909.09090909090912</v>
      </c>
      <c r="J12" s="1">
        <f t="shared" si="10"/>
        <v>13.159972627256936</v>
      </c>
      <c r="K12" s="1">
        <v>5000</v>
      </c>
      <c r="L12" s="3">
        <f t="shared" si="6"/>
        <v>1668.9709090909091</v>
      </c>
      <c r="M12" s="9">
        <f t="shared" si="7"/>
        <v>9.3274266989524665E-2</v>
      </c>
      <c r="N12" s="9">
        <f t="shared" si="11"/>
        <v>8.7733150848379573</v>
      </c>
      <c r="O12" s="9"/>
      <c r="P12" s="9"/>
      <c r="Q12" s="9"/>
      <c r="R12" s="9"/>
      <c r="S12" s="17">
        <f t="shared" si="0"/>
        <v>4.9677374175166149E-3</v>
      </c>
      <c r="T12" s="20">
        <f t="shared" si="1"/>
        <v>6.6718066829151374E-3</v>
      </c>
      <c r="U12" s="10">
        <f t="shared" si="2"/>
        <v>11.682796363636363</v>
      </c>
      <c r="V12" s="19">
        <f t="shared" si="9"/>
        <v>619188.20727272728</v>
      </c>
    </row>
    <row r="13" spans="2:24" x14ac:dyDescent="0.3">
      <c r="E13" s="1">
        <v>3.14</v>
      </c>
      <c r="F13" s="1">
        <v>12</v>
      </c>
      <c r="G13" s="1">
        <f t="shared" si="8"/>
        <v>452.16</v>
      </c>
      <c r="H13" s="1">
        <f t="shared" si="3"/>
        <v>75.36</v>
      </c>
      <c r="I13" s="1">
        <f t="shared" si="4"/>
        <v>833.33333333333337</v>
      </c>
      <c r="J13" s="1">
        <f t="shared" si="10"/>
        <v>11.058032554847841</v>
      </c>
      <c r="K13" s="1">
        <v>5000</v>
      </c>
      <c r="L13" s="3">
        <f t="shared" si="6"/>
        <v>1737.6533333333334</v>
      </c>
      <c r="M13" s="9">
        <f t="shared" si="7"/>
        <v>7.8376293789808912E-2</v>
      </c>
      <c r="N13" s="9">
        <f t="shared" si="11"/>
        <v>7.3720217032318942</v>
      </c>
      <c r="O13" s="9"/>
      <c r="P13" s="9"/>
      <c r="Q13" s="9"/>
      <c r="R13" s="9"/>
      <c r="S13" s="17">
        <f t="shared" si="0"/>
        <v>4.4217766842025181E-3</v>
      </c>
      <c r="T13" s="20">
        <f t="shared" si="1"/>
        <v>6.1382508765337402E-3</v>
      </c>
      <c r="U13" s="10">
        <f t="shared" si="2"/>
        <v>12.163573333333334</v>
      </c>
      <c r="V13" s="19">
        <f t="shared" si="9"/>
        <v>644669.38666666672</v>
      </c>
    </row>
    <row r="14" spans="2:24" x14ac:dyDescent="0.3">
      <c r="B14" t="s">
        <v>20</v>
      </c>
      <c r="C14">
        <v>350</v>
      </c>
      <c r="E14" s="1">
        <v>3.14</v>
      </c>
      <c r="F14" s="1">
        <v>13</v>
      </c>
      <c r="G14" s="1">
        <f t="shared" si="8"/>
        <v>530.66</v>
      </c>
      <c r="H14" s="1">
        <f t="shared" si="3"/>
        <v>81.64</v>
      </c>
      <c r="I14" s="1">
        <f t="shared" si="4"/>
        <v>769.23076923076928</v>
      </c>
      <c r="J14" s="1">
        <f t="shared" si="10"/>
        <v>9.4222289224739004</v>
      </c>
      <c r="K14" s="1">
        <v>5000</v>
      </c>
      <c r="L14" s="3">
        <f t="shared" si="6"/>
        <v>1830.5507692307692</v>
      </c>
      <c r="M14" s="9">
        <f t="shared" si="7"/>
        <v>6.6782167489541328E-2</v>
      </c>
      <c r="N14" s="9">
        <f t="shared" si="11"/>
        <v>6.2814859483159333</v>
      </c>
      <c r="O14" s="9"/>
      <c r="P14" s="9"/>
      <c r="Q14" s="9"/>
      <c r="R14" s="9"/>
      <c r="S14" s="17">
        <f t="shared" si="0"/>
        <v>3.9492159875705053E-3</v>
      </c>
      <c r="T14" s="20">
        <f t="shared" si="1"/>
        <v>5.6885808263604405E-3</v>
      </c>
      <c r="U14" s="10">
        <f t="shared" si="2"/>
        <v>12.813855384615385</v>
      </c>
      <c r="V14" s="19">
        <f t="shared" si="9"/>
        <v>679134.33538461546</v>
      </c>
    </row>
    <row r="15" spans="2:24" x14ac:dyDescent="0.3">
      <c r="B15" t="s">
        <v>21</v>
      </c>
      <c r="C15">
        <v>1.5</v>
      </c>
      <c r="E15" s="1">
        <v>3.14</v>
      </c>
      <c r="F15" s="1">
        <v>14</v>
      </c>
      <c r="G15" s="1">
        <f t="shared" si="8"/>
        <v>615.44000000000005</v>
      </c>
      <c r="H15" s="1">
        <f t="shared" si="3"/>
        <v>87.92</v>
      </c>
      <c r="I15" s="1">
        <f t="shared" si="4"/>
        <v>714.28571428571422</v>
      </c>
      <c r="J15" s="1">
        <f t="shared" si="10"/>
        <v>8.1242688158065768</v>
      </c>
      <c r="K15" s="1">
        <v>5000</v>
      </c>
      <c r="L15" s="3">
        <f t="shared" si="6"/>
        <v>1945.1657142857143</v>
      </c>
      <c r="M15" s="9">
        <f t="shared" si="7"/>
        <v>5.7582583192512665E-2</v>
      </c>
      <c r="N15" s="9">
        <f t="shared" si="11"/>
        <v>5.4161792105377176</v>
      </c>
      <c r="O15" s="9"/>
      <c r="P15" s="9"/>
      <c r="Q15" s="9"/>
      <c r="R15" s="9"/>
      <c r="S15" s="17">
        <f t="shared" si="0"/>
        <v>3.5343267483315577E-3</v>
      </c>
      <c r="T15" s="20">
        <f t="shared" si="1"/>
        <v>5.3048210132077877E-3</v>
      </c>
      <c r="U15" s="10">
        <f t="shared" si="2"/>
        <v>13.616160000000001</v>
      </c>
      <c r="V15" s="19">
        <f t="shared" si="9"/>
        <v>721656.48</v>
      </c>
    </row>
    <row r="16" spans="2:24" x14ac:dyDescent="0.3">
      <c r="B16" t="s">
        <v>24</v>
      </c>
      <c r="C16" s="10">
        <f>C14/C15</f>
        <v>233.33333333333334</v>
      </c>
      <c r="E16" s="1">
        <v>3.14</v>
      </c>
      <c r="F16" s="1">
        <v>15</v>
      </c>
      <c r="G16" s="1">
        <f t="shared" si="8"/>
        <v>706.5</v>
      </c>
      <c r="H16" s="1">
        <f t="shared" si="3"/>
        <v>94.2</v>
      </c>
      <c r="I16" s="1">
        <f t="shared" si="4"/>
        <v>666.66666666666663</v>
      </c>
      <c r="J16" s="1">
        <f t="shared" si="10"/>
        <v>7.0771408351026182</v>
      </c>
      <c r="K16" s="1">
        <v>5000</v>
      </c>
      <c r="L16" s="3">
        <f t="shared" si="6"/>
        <v>2079.6666666666665</v>
      </c>
      <c r="M16" s="9">
        <f t="shared" si="7"/>
        <v>5.0160828025477708E-2</v>
      </c>
      <c r="N16" s="9">
        <f t="shared" si="11"/>
        <v>4.7180938900684124</v>
      </c>
      <c r="O16" s="9"/>
      <c r="P16" s="9"/>
      <c r="Q16" s="9"/>
      <c r="R16" s="9"/>
      <c r="S16" s="17">
        <f t="shared" si="0"/>
        <v>3.165574675007065E-3</v>
      </c>
      <c r="T16" s="20">
        <f t="shared" si="1"/>
        <v>4.9737893896716527E-3</v>
      </c>
      <c r="U16" s="10">
        <f t="shared" si="2"/>
        <v>14.557666666666666</v>
      </c>
      <c r="V16" s="19">
        <f t="shared" si="9"/>
        <v>771556.33333333326</v>
      </c>
    </row>
    <row r="17" spans="2:22" x14ac:dyDescent="0.3">
      <c r="B17" t="s">
        <v>40</v>
      </c>
      <c r="C17">
        <f>C14/(1.025*1.1)</f>
        <v>310.42128603104214</v>
      </c>
      <c r="E17" s="1">
        <v>3.14</v>
      </c>
      <c r="F17" s="1">
        <v>16</v>
      </c>
      <c r="G17" s="1">
        <f t="shared" si="8"/>
        <v>803.84</v>
      </c>
      <c r="H17" s="1">
        <f t="shared" si="3"/>
        <v>100.48</v>
      </c>
      <c r="I17" s="1">
        <f t="shared" si="4"/>
        <v>625</v>
      </c>
      <c r="J17" s="1">
        <f t="shared" si="10"/>
        <v>6.2201433121019107</v>
      </c>
      <c r="K17" s="1">
        <v>5000</v>
      </c>
      <c r="L17" s="3">
        <f t="shared" si="6"/>
        <v>2232.6800000000003</v>
      </c>
      <c r="M17" s="9">
        <f t="shared" si="7"/>
        <v>4.4086665256767507E-2</v>
      </c>
      <c r="N17" s="9">
        <f t="shared" si="11"/>
        <v>4.1467622080679405</v>
      </c>
      <c r="O17" s="9"/>
      <c r="P17" s="9"/>
      <c r="Q17" s="9"/>
      <c r="R17" s="9"/>
      <c r="S17" s="17">
        <f t="shared" si="0"/>
        <v>2.8343090489880655E-3</v>
      </c>
      <c r="T17" s="20">
        <f t="shared" si="1"/>
        <v>4.6855994201989402E-3</v>
      </c>
      <c r="U17" s="10"/>
      <c r="V17" s="10"/>
    </row>
    <row r="18" spans="2:22" x14ac:dyDescent="0.3">
      <c r="E18" s="1">
        <v>3.14</v>
      </c>
      <c r="F18" s="1">
        <v>17</v>
      </c>
      <c r="G18" s="1">
        <f t="shared" si="8"/>
        <v>907.46</v>
      </c>
      <c r="H18" s="1">
        <f t="shared" si="3"/>
        <v>106.76</v>
      </c>
      <c r="I18" s="1">
        <f t="shared" si="4"/>
        <v>588.23529411764707</v>
      </c>
      <c r="J18" s="1">
        <f t="shared" si="10"/>
        <v>5.5098847332113809</v>
      </c>
      <c r="K18" s="1">
        <v>5000</v>
      </c>
      <c r="L18" s="3">
        <f t="shared" si="6"/>
        <v>2403.1552941176469</v>
      </c>
      <c r="M18" s="9">
        <f t="shared" si="7"/>
        <v>3.9052547770700635E-2</v>
      </c>
      <c r="N18" s="9">
        <f t="shared" si="11"/>
        <v>3.6732564888075872</v>
      </c>
      <c r="O18" s="9"/>
      <c r="P18" s="9"/>
      <c r="Q18" s="9"/>
      <c r="R18" s="9"/>
      <c r="S18" s="17">
        <f t="shared" si="0"/>
        <v>2.5339146148677079E-3</v>
      </c>
      <c r="T18" s="20">
        <f t="shared" si="1"/>
        <v>4.4326908128961024E-3</v>
      </c>
      <c r="U18" s="10"/>
      <c r="V18" s="10"/>
    </row>
    <row r="19" spans="2:22" x14ac:dyDescent="0.3">
      <c r="E19" s="1">
        <v>3.14</v>
      </c>
      <c r="F19" s="1">
        <v>18</v>
      </c>
      <c r="G19" s="1">
        <f t="shared" si="8"/>
        <v>1017.36</v>
      </c>
      <c r="H19" s="1">
        <f t="shared" si="3"/>
        <v>113.04</v>
      </c>
      <c r="I19" s="1">
        <f t="shared" si="4"/>
        <v>555.55555555555554</v>
      </c>
      <c r="J19" s="1">
        <f t="shared" si="10"/>
        <v>4.9146811354879292</v>
      </c>
      <c r="K19" s="1">
        <v>5000</v>
      </c>
      <c r="L19" s="3">
        <f t="shared" si="6"/>
        <v>2590.2755555555555</v>
      </c>
      <c r="M19" s="9">
        <f t="shared" si="7"/>
        <v>3.4833908351026184E-2</v>
      </c>
      <c r="N19" s="9">
        <f t="shared" si="11"/>
        <v>3.2764540903252861</v>
      </c>
      <c r="O19" s="9"/>
      <c r="P19" s="9"/>
      <c r="Q19" s="9"/>
      <c r="R19" s="9"/>
      <c r="S19" s="17">
        <f t="shared" si="0"/>
        <v>2.2592461739962175E-3</v>
      </c>
      <c r="T19" s="10"/>
      <c r="U19" s="10"/>
      <c r="V19" s="10"/>
    </row>
    <row r="20" spans="2:22" x14ac:dyDescent="0.3">
      <c r="E20" s="1">
        <v>3.14</v>
      </c>
      <c r="F20" s="1">
        <v>19</v>
      </c>
      <c r="G20" s="1">
        <f t="shared" si="8"/>
        <v>1133.54</v>
      </c>
      <c r="H20" s="1">
        <f t="shared" si="3"/>
        <v>119.32000000000001</v>
      </c>
      <c r="I20" s="1">
        <f t="shared" si="4"/>
        <v>526.31578947368428</v>
      </c>
      <c r="J20" s="1">
        <f t="shared" si="10"/>
        <v>4.4109603542883358</v>
      </c>
      <c r="K20" s="1">
        <v>5000</v>
      </c>
      <c r="L20" s="3">
        <f t="shared" si="6"/>
        <v>2793.3957894736841</v>
      </c>
      <c r="M20" s="9">
        <f t="shared" si="7"/>
        <v>3.1263673977098297E-2</v>
      </c>
      <c r="N20" s="9">
        <f t="shared" si="11"/>
        <v>2.9406402361922237</v>
      </c>
      <c r="O20" s="9"/>
      <c r="P20" s="9"/>
      <c r="Q20" s="9"/>
      <c r="R20" s="9"/>
      <c r="S20" s="17"/>
      <c r="T20" s="10"/>
      <c r="U20" s="10"/>
      <c r="V20" s="10"/>
    </row>
    <row r="21" spans="2:22" x14ac:dyDescent="0.3">
      <c r="E21" s="1">
        <v>3.14</v>
      </c>
      <c r="F21" s="1">
        <v>20</v>
      </c>
      <c r="G21" s="1">
        <f t="shared" si="8"/>
        <v>1256</v>
      </c>
      <c r="H21" s="1">
        <f t="shared" si="3"/>
        <v>125.60000000000001</v>
      </c>
      <c r="I21" s="1">
        <f t="shared" si="4"/>
        <v>500</v>
      </c>
      <c r="J21" s="1">
        <f t="shared" si="10"/>
        <v>3.9808917197452227</v>
      </c>
      <c r="K21" s="1">
        <v>5000</v>
      </c>
      <c r="L21" s="3">
        <f t="shared" si="6"/>
        <v>3012</v>
      </c>
      <c r="M21" s="9">
        <f t="shared" si="7"/>
        <v>2.8215465764331208E-2</v>
      </c>
      <c r="N21" s="9">
        <f t="shared" si="11"/>
        <v>2.6539278131634818</v>
      </c>
      <c r="O21" s="9"/>
      <c r="P21" s="9"/>
      <c r="Q21" s="9"/>
      <c r="R21" s="9"/>
      <c r="S21" s="17"/>
      <c r="T21" s="10"/>
      <c r="U21" s="10"/>
      <c r="V21" s="10"/>
    </row>
    <row r="22" spans="2:22" x14ac:dyDescent="0.3">
      <c r="E22" s="1">
        <v>3.14</v>
      </c>
      <c r="F22" s="1">
        <v>21</v>
      </c>
      <c r="G22" s="1">
        <f t="shared" si="8"/>
        <v>1384.74</v>
      </c>
      <c r="H22" s="1">
        <f t="shared" si="3"/>
        <v>131.88</v>
      </c>
      <c r="I22" s="1">
        <f t="shared" si="4"/>
        <v>476.19047619047615</v>
      </c>
      <c r="J22" s="1">
        <f t="shared" si="10"/>
        <v>3.6107861403584787</v>
      </c>
      <c r="K22" s="1">
        <v>5000</v>
      </c>
      <c r="L22" s="3">
        <f t="shared" si="6"/>
        <v>3245.6704761904762</v>
      </c>
      <c r="M22" s="9">
        <f t="shared" si="7"/>
        <v>2.5592259196672296E-2</v>
      </c>
      <c r="N22" s="9">
        <f t="shared" si="11"/>
        <v>2.4071907602389859</v>
      </c>
      <c r="O22" s="9"/>
      <c r="P22" s="9"/>
      <c r="Q22" s="9"/>
      <c r="R22" s="9"/>
      <c r="S22" s="17"/>
      <c r="T22" s="10"/>
      <c r="U22" s="10"/>
      <c r="V22" s="10"/>
    </row>
    <row r="23" spans="2:22" x14ac:dyDescent="0.3">
      <c r="E23" s="1">
        <v>3.14</v>
      </c>
      <c r="F23" s="1">
        <v>22</v>
      </c>
      <c r="G23" s="1">
        <f t="shared" si="8"/>
        <v>1519.76</v>
      </c>
      <c r="H23" s="1">
        <f t="shared" si="3"/>
        <v>138.16</v>
      </c>
      <c r="I23" s="1">
        <f t="shared" si="4"/>
        <v>454.54545454545456</v>
      </c>
      <c r="J23" s="1">
        <f t="shared" si="10"/>
        <v>3.289993156814234</v>
      </c>
      <c r="K23" s="1">
        <v>5000</v>
      </c>
      <c r="L23" s="3">
        <f t="shared" si="6"/>
        <v>3494.0654545454545</v>
      </c>
      <c r="M23" s="9">
        <f t="shared" si="7"/>
        <v>2.3318566747381166E-2</v>
      </c>
      <c r="N23" s="9">
        <f t="shared" si="11"/>
        <v>2.1933287712094893</v>
      </c>
      <c r="O23" s="9"/>
      <c r="P23" s="9"/>
      <c r="Q23" s="9"/>
      <c r="R23" s="9"/>
      <c r="S23" s="17"/>
      <c r="T23" s="10"/>
      <c r="U23" s="10"/>
      <c r="V23" s="10"/>
    </row>
    <row r="24" spans="2:22" x14ac:dyDescent="0.3">
      <c r="E24" s="1">
        <v>3.14</v>
      </c>
      <c r="F24" s="1">
        <v>23</v>
      </c>
      <c r="G24" s="1">
        <f t="shared" si="8"/>
        <v>1661.0600000000002</v>
      </c>
      <c r="H24" s="1">
        <f t="shared" si="3"/>
        <v>144.44</v>
      </c>
      <c r="I24" s="1">
        <f t="shared" si="4"/>
        <v>434.78260869565213</v>
      </c>
      <c r="J24" s="1">
        <f t="shared" si="10"/>
        <v>3.0101260640795635</v>
      </c>
      <c r="K24" s="1">
        <v>5000</v>
      </c>
      <c r="L24" s="3">
        <f t="shared" si="6"/>
        <v>3756.9026086956524</v>
      </c>
      <c r="M24" s="9">
        <f t="shared" si="7"/>
        <v>2.1334945757528322E-2</v>
      </c>
      <c r="N24" s="9">
        <f t="shared" si="11"/>
        <v>2.0067507093863757</v>
      </c>
      <c r="O24" s="9"/>
      <c r="P24" s="9"/>
      <c r="Q24" s="9"/>
      <c r="R24" s="9"/>
      <c r="S24" s="17"/>
      <c r="T24" s="10"/>
      <c r="U24" s="10"/>
      <c r="V24" s="10"/>
    </row>
    <row r="25" spans="2:22" x14ac:dyDescent="0.3">
      <c r="E25" s="1">
        <v>3.14</v>
      </c>
      <c r="F25" s="1">
        <v>24</v>
      </c>
      <c r="G25" s="1">
        <f t="shared" si="8"/>
        <v>1808.64</v>
      </c>
      <c r="H25" s="1">
        <f t="shared" si="3"/>
        <v>150.72</v>
      </c>
      <c r="I25" s="1">
        <f t="shared" si="4"/>
        <v>416.66666666666669</v>
      </c>
      <c r="J25" s="1">
        <f t="shared" si="10"/>
        <v>2.7645081387119603</v>
      </c>
      <c r="K25" s="1">
        <v>5000</v>
      </c>
      <c r="L25" s="3">
        <f t="shared" si="6"/>
        <v>4033.9466666666667</v>
      </c>
      <c r="M25" s="9">
        <f t="shared" si="7"/>
        <v>1.9594073447452228E-2</v>
      </c>
      <c r="N25" s="9">
        <f t="shared" si="11"/>
        <v>1.8430054258079736</v>
      </c>
      <c r="O25" s="9"/>
      <c r="P25" s="9"/>
      <c r="Q25" s="9"/>
      <c r="R25" s="9"/>
      <c r="S25" s="17"/>
      <c r="T25" s="10"/>
      <c r="U25" s="10"/>
      <c r="V25" s="10"/>
    </row>
    <row r="26" spans="2:22" x14ac:dyDescent="0.3">
      <c r="E26" s="1">
        <v>3.14</v>
      </c>
      <c r="F26" s="1">
        <v>25</v>
      </c>
      <c r="G26" s="1">
        <f t="shared" si="8"/>
        <v>1962.5</v>
      </c>
      <c r="H26" s="1">
        <f t="shared" si="3"/>
        <v>157</v>
      </c>
      <c r="I26" s="1">
        <f t="shared" si="4"/>
        <v>400</v>
      </c>
      <c r="J26" s="1">
        <f t="shared" si="10"/>
        <v>2.5477707006369426</v>
      </c>
      <c r="K26" s="1">
        <v>5000</v>
      </c>
      <c r="L26" s="3">
        <f t="shared" si="6"/>
        <v>4325</v>
      </c>
      <c r="M26" s="9">
        <f t="shared" si="7"/>
        <v>1.8057898089171971E-2</v>
      </c>
      <c r="N26" s="9">
        <f t="shared" si="11"/>
        <v>1.6985138004246283</v>
      </c>
      <c r="O26" s="9"/>
      <c r="P26" s="9"/>
      <c r="Q26" s="9"/>
      <c r="R26" s="9"/>
      <c r="S26" s="17"/>
      <c r="T26" s="10"/>
      <c r="U26" s="10"/>
      <c r="V26" s="10"/>
    </row>
    <row r="27" spans="2:22" x14ac:dyDescent="0.3">
      <c r="E27" s="1">
        <v>3.14</v>
      </c>
      <c r="F27" s="1">
        <v>26</v>
      </c>
      <c r="G27" s="1">
        <f t="shared" si="8"/>
        <v>2122.64</v>
      </c>
      <c r="H27" s="1">
        <f t="shared" si="3"/>
        <v>163.28</v>
      </c>
      <c r="I27" s="1">
        <f t="shared" si="4"/>
        <v>384.61538461538464</v>
      </c>
      <c r="J27" s="1">
        <f t="shared" si="10"/>
        <v>2.3555572306184751</v>
      </c>
      <c r="K27" s="1">
        <v>5000</v>
      </c>
      <c r="L27" s="3">
        <f t="shared" si="6"/>
        <v>4629.8953846153845</v>
      </c>
      <c r="M27" s="9">
        <f t="shared" si="7"/>
        <v>1.6695541872385332E-2</v>
      </c>
      <c r="N27" s="9">
        <f t="shared" si="11"/>
        <v>1.5703714870789833</v>
      </c>
      <c r="O27" s="9"/>
      <c r="P27" s="9"/>
      <c r="Q27" s="9"/>
      <c r="R27" s="9"/>
      <c r="S27" s="17"/>
      <c r="T27" s="10"/>
      <c r="U27" s="10"/>
      <c r="V27" s="10"/>
    </row>
    <row r="28" spans="2:22" x14ac:dyDescent="0.3">
      <c r="E28" s="1">
        <v>3.14</v>
      </c>
      <c r="F28" s="1">
        <v>27</v>
      </c>
      <c r="G28" s="1">
        <f t="shared" si="8"/>
        <v>2289.06</v>
      </c>
      <c r="H28" s="1">
        <f t="shared" si="3"/>
        <v>169.56</v>
      </c>
      <c r="I28" s="1">
        <f t="shared" si="4"/>
        <v>370.37037037037038</v>
      </c>
      <c r="J28" s="1">
        <f t="shared" si="10"/>
        <v>2.1843027268835242</v>
      </c>
      <c r="K28" s="1">
        <v>5000</v>
      </c>
      <c r="L28" s="3">
        <f t="shared" si="6"/>
        <v>4948.4903703703703</v>
      </c>
      <c r="M28" s="9">
        <f t="shared" si="7"/>
        <v>1.5481737044900528E-2</v>
      </c>
      <c r="N28" s="9">
        <f t="shared" si="11"/>
        <v>1.4562018179223495</v>
      </c>
      <c r="O28" s="9"/>
      <c r="P28" s="9"/>
      <c r="Q28" s="9"/>
      <c r="R28" s="9"/>
      <c r="S28" s="17"/>
      <c r="T28" s="10"/>
      <c r="U28" s="10"/>
      <c r="V28" s="10"/>
    </row>
    <row r="29" spans="2:22" x14ac:dyDescent="0.3">
      <c r="E29" s="1">
        <v>3.14</v>
      </c>
      <c r="F29" s="1">
        <v>28</v>
      </c>
      <c r="G29" s="1">
        <f t="shared" si="8"/>
        <v>2461.7600000000002</v>
      </c>
      <c r="H29" s="1">
        <f t="shared" si="3"/>
        <v>175.84</v>
      </c>
      <c r="I29" s="1">
        <f t="shared" si="4"/>
        <v>357.14285714285711</v>
      </c>
      <c r="J29" s="1">
        <f t="shared" si="10"/>
        <v>2.0310672039516442</v>
      </c>
      <c r="K29" s="1">
        <v>5000</v>
      </c>
      <c r="L29" s="3">
        <f t="shared" si="6"/>
        <v>5280.6628571428573</v>
      </c>
      <c r="M29" s="9">
        <f t="shared" si="7"/>
        <v>1.4395645798128166E-2</v>
      </c>
      <c r="N29" s="9">
        <f t="shared" si="11"/>
        <v>1.3540448026344294</v>
      </c>
      <c r="O29" s="9"/>
      <c r="P29" s="9"/>
      <c r="Q29" s="9"/>
      <c r="R29" s="9"/>
      <c r="S29" s="17"/>
      <c r="T29" s="10"/>
      <c r="U29" s="10"/>
      <c r="V29" s="10"/>
    </row>
    <row r="30" spans="2:22" x14ac:dyDescent="0.3">
      <c r="E30" s="1">
        <v>3.14</v>
      </c>
      <c r="F30" s="1">
        <v>29</v>
      </c>
      <c r="G30" s="1">
        <f t="shared" si="8"/>
        <v>2640.7400000000002</v>
      </c>
      <c r="H30" s="1">
        <f t="shared" si="3"/>
        <v>182.12</v>
      </c>
      <c r="I30" s="1">
        <f t="shared" si="4"/>
        <v>344.82758620689657</v>
      </c>
      <c r="J30" s="1">
        <f t="shared" si="10"/>
        <v>1.8934086657527813</v>
      </c>
      <c r="K30" s="1">
        <v>5000</v>
      </c>
      <c r="L30" s="3">
        <f t="shared" si="6"/>
        <v>5626.3075862068972</v>
      </c>
      <c r="M30" s="9">
        <f t="shared" si="7"/>
        <v>1.3419959935472632E-2</v>
      </c>
      <c r="N30" s="9">
        <f t="shared" si="11"/>
        <v>1.2622724438351876</v>
      </c>
      <c r="O30" s="9"/>
      <c r="P30" s="9"/>
      <c r="Q30" s="9"/>
      <c r="R30" s="9"/>
      <c r="S30" s="17"/>
      <c r="T30" s="10"/>
      <c r="U30" s="10"/>
      <c r="V30" s="10"/>
    </row>
    <row r="31" spans="2:22" x14ac:dyDescent="0.3">
      <c r="E31" s="1">
        <v>3.14</v>
      </c>
      <c r="F31" s="1">
        <v>30</v>
      </c>
      <c r="G31" s="1">
        <f t="shared" si="8"/>
        <v>2826</v>
      </c>
      <c r="H31" s="1">
        <f t="shared" si="3"/>
        <v>188.4</v>
      </c>
      <c r="I31" s="1">
        <f t="shared" si="4"/>
        <v>333.33333333333331</v>
      </c>
      <c r="J31" s="1">
        <f t="shared" si="10"/>
        <v>1.7692852087756545</v>
      </c>
      <c r="K31" s="1">
        <v>5000</v>
      </c>
      <c r="L31" s="3">
        <f t="shared" si="6"/>
        <v>5985.333333333333</v>
      </c>
      <c r="M31" s="9">
        <f t="shared" si="7"/>
        <v>1.2540207006369427E-2</v>
      </c>
      <c r="N31" s="9">
        <f t="shared" si="11"/>
        <v>1.1795234725171031</v>
      </c>
      <c r="O31" s="9"/>
      <c r="P31" s="9"/>
      <c r="Q31" s="9"/>
      <c r="R31" s="9"/>
      <c r="S31" s="17"/>
      <c r="T31" s="10"/>
      <c r="U31" s="10"/>
      <c r="V31" s="10"/>
    </row>
    <row r="32" spans="2:22" x14ac:dyDescent="0.3">
      <c r="E32" s="1">
        <v>3.14</v>
      </c>
      <c r="F32" s="1">
        <v>31</v>
      </c>
      <c r="G32" s="1">
        <f t="shared" si="8"/>
        <v>3017.54</v>
      </c>
      <c r="H32" s="1">
        <f t="shared" si="3"/>
        <v>194.68</v>
      </c>
      <c r="I32" s="1">
        <f t="shared" si="4"/>
        <v>322.58064516129031</v>
      </c>
      <c r="J32" s="1">
        <f t="shared" si="10"/>
        <v>1.6569788635776161</v>
      </c>
      <c r="K32" s="1">
        <v>5000</v>
      </c>
      <c r="L32" s="3">
        <f t="shared" si="6"/>
        <v>6357.6606451612906</v>
      </c>
      <c r="M32" s="9">
        <f t="shared" si="7"/>
        <v>1.1744210515850662E-2</v>
      </c>
      <c r="N32" s="9">
        <f t="shared" si="11"/>
        <v>1.1046525757184107</v>
      </c>
      <c r="O32" s="9"/>
      <c r="P32" s="9"/>
      <c r="Q32" s="9"/>
      <c r="R32" s="9"/>
      <c r="S32" s="17"/>
      <c r="T32" s="10"/>
      <c r="U32" s="10"/>
      <c r="V32" s="10"/>
    </row>
    <row r="33" spans="5:22" x14ac:dyDescent="0.3">
      <c r="E33" s="1">
        <v>3.14</v>
      </c>
      <c r="F33" s="1">
        <v>32</v>
      </c>
      <c r="G33" s="1">
        <f t="shared" si="8"/>
        <v>3215.36</v>
      </c>
      <c r="H33" s="1">
        <f t="shared" si="3"/>
        <v>200.96</v>
      </c>
      <c r="I33" s="1">
        <f t="shared" si="4"/>
        <v>312.5</v>
      </c>
      <c r="J33" s="1">
        <f t="shared" si="10"/>
        <v>1.5550358280254777</v>
      </c>
      <c r="K33" s="1">
        <v>5000</v>
      </c>
      <c r="L33" s="3">
        <f t="shared" si="6"/>
        <v>6743.22</v>
      </c>
      <c r="M33" s="9">
        <f t="shared" si="7"/>
        <v>1.1021666314191877E-2</v>
      </c>
      <c r="N33" s="9">
        <f t="shared" si="11"/>
        <v>1.0366905520169851</v>
      </c>
      <c r="O33" s="9"/>
      <c r="P33" s="9"/>
      <c r="Q33" s="9"/>
      <c r="R33" s="9"/>
      <c r="S33" s="17"/>
      <c r="T33" s="10"/>
      <c r="U33" s="10"/>
      <c r="V33" s="10"/>
    </row>
    <row r="34" spans="5:22" x14ac:dyDescent="0.3">
      <c r="E34" s="1">
        <v>3.14</v>
      </c>
      <c r="F34" s="1">
        <v>33</v>
      </c>
      <c r="G34" s="1">
        <f t="shared" si="8"/>
        <v>3419.46</v>
      </c>
      <c r="H34" s="1">
        <f t="shared" si="3"/>
        <v>207.24</v>
      </c>
      <c r="I34" s="1">
        <f t="shared" si="4"/>
        <v>303.030303030303</v>
      </c>
      <c r="J34" s="1">
        <f t="shared" si="10"/>
        <v>1.4622191808063261</v>
      </c>
      <c r="K34" s="1">
        <v>5000</v>
      </c>
      <c r="L34" s="3">
        <f t="shared" si="6"/>
        <v>7141.9503030303031</v>
      </c>
      <c r="M34" s="9">
        <f t="shared" si="7"/>
        <v>1.0363807443280519E-2</v>
      </c>
      <c r="N34" s="9">
        <f t="shared" si="11"/>
        <v>0.97481278720421738</v>
      </c>
      <c r="O34" s="9"/>
      <c r="P34" s="9"/>
      <c r="Q34" s="9"/>
      <c r="R34" s="9"/>
      <c r="S34" s="17"/>
      <c r="T34" s="10"/>
      <c r="U34" s="10"/>
      <c r="V34" s="10"/>
    </row>
    <row r="35" spans="5:22" x14ac:dyDescent="0.3">
      <c r="E35" s="1">
        <v>3.14</v>
      </c>
      <c r="F35" s="1">
        <v>34</v>
      </c>
      <c r="G35" s="1">
        <f t="shared" si="8"/>
        <v>3629.84</v>
      </c>
      <c r="H35" s="1">
        <f t="shared" si="3"/>
        <v>213.52</v>
      </c>
      <c r="I35" s="1">
        <f t="shared" si="4"/>
        <v>294.11764705882354</v>
      </c>
      <c r="J35" s="1">
        <f t="shared" si="10"/>
        <v>1.3774711833028452</v>
      </c>
      <c r="K35" s="1">
        <v>5000</v>
      </c>
      <c r="L35" s="3">
        <f t="shared" si="6"/>
        <v>7553.7976470588237</v>
      </c>
      <c r="M35" s="9">
        <f t="shared" si="7"/>
        <v>9.7631369426751588E-3</v>
      </c>
      <c r="N35" s="9">
        <f t="shared" si="11"/>
        <v>0.91831412220189679</v>
      </c>
      <c r="O35" s="9"/>
      <c r="P35" s="9"/>
      <c r="Q35" s="9"/>
      <c r="R35" s="9"/>
      <c r="S35" s="17"/>
      <c r="T35" s="10"/>
      <c r="U35" s="10"/>
      <c r="V35" s="10"/>
    </row>
    <row r="36" spans="5:22" x14ac:dyDescent="0.3">
      <c r="E36" s="1">
        <v>3.14</v>
      </c>
      <c r="F36" s="1">
        <v>35</v>
      </c>
      <c r="G36" s="1">
        <f t="shared" si="8"/>
        <v>3846.5</v>
      </c>
      <c r="H36" s="1">
        <f t="shared" si="3"/>
        <v>219.8</v>
      </c>
      <c r="I36" s="1">
        <f t="shared" si="4"/>
        <v>285.71428571428572</v>
      </c>
      <c r="J36" s="1">
        <f t="shared" si="10"/>
        <v>1.2998830105290524</v>
      </c>
      <c r="K36" s="1">
        <v>5000</v>
      </c>
      <c r="L36" s="3">
        <f t="shared" si="6"/>
        <v>7978.7142857142853</v>
      </c>
      <c r="M36" s="9">
        <f t="shared" si="7"/>
        <v>9.2132133108020296E-3</v>
      </c>
      <c r="N36" s="9">
        <f t="shared" si="11"/>
        <v>0.86658867368603498</v>
      </c>
      <c r="O36" s="9"/>
      <c r="P36" s="9"/>
      <c r="Q36" s="9"/>
      <c r="R36" s="9"/>
      <c r="S36" s="17"/>
      <c r="T36" s="10"/>
      <c r="U36" s="10"/>
      <c r="V36" s="10"/>
    </row>
    <row r="37" spans="5:22" x14ac:dyDescent="0.3">
      <c r="E37" s="1">
        <v>3.14</v>
      </c>
      <c r="F37" s="1">
        <v>36</v>
      </c>
      <c r="G37" s="1">
        <f t="shared" si="8"/>
        <v>4069.44</v>
      </c>
      <c r="H37" s="1">
        <f t="shared" si="3"/>
        <v>226.08</v>
      </c>
      <c r="I37" s="1">
        <f t="shared" si="4"/>
        <v>277.77777777777777</v>
      </c>
      <c r="J37" s="1">
        <f t="shared" si="10"/>
        <v>1.2286702838719823</v>
      </c>
      <c r="K37" s="1">
        <v>5000</v>
      </c>
      <c r="L37" s="3">
        <f t="shared" si="6"/>
        <v>8416.6577777777784</v>
      </c>
      <c r="M37" s="9">
        <f t="shared" si="7"/>
        <v>8.708477087756546E-3</v>
      </c>
      <c r="N37" s="9">
        <f t="shared" si="11"/>
        <v>0.81911352258132153</v>
      </c>
      <c r="O37" s="9"/>
      <c r="P37" s="9"/>
      <c r="Q37" s="9"/>
      <c r="R37" s="9"/>
      <c r="S37" s="17"/>
      <c r="T37" s="10"/>
      <c r="U37" s="10"/>
      <c r="V37" s="10"/>
    </row>
    <row r="38" spans="5:22" x14ac:dyDescent="0.3">
      <c r="E38" s="1">
        <v>3.14</v>
      </c>
      <c r="F38" s="1">
        <v>37</v>
      </c>
      <c r="G38" s="1">
        <f t="shared" si="8"/>
        <v>4298.66</v>
      </c>
      <c r="H38" s="1">
        <f t="shared" si="3"/>
        <v>232.36</v>
      </c>
      <c r="I38" s="1">
        <f t="shared" si="4"/>
        <v>270.27027027027032</v>
      </c>
      <c r="J38" s="1">
        <f t="shared" si="10"/>
        <v>1.1631531686618621</v>
      </c>
      <c r="K38" s="1">
        <v>5000</v>
      </c>
      <c r="L38" s="3">
        <f t="shared" si="6"/>
        <v>8867.5902702702697</v>
      </c>
      <c r="M38" s="9">
        <f t="shared" si="7"/>
        <v>8.2441097923538955E-3</v>
      </c>
      <c r="N38" s="9">
        <f t="shared" si="11"/>
        <v>0.77543544577457479</v>
      </c>
      <c r="O38" s="9"/>
      <c r="P38" s="9"/>
      <c r="Q38" s="9"/>
      <c r="R38" s="9"/>
      <c r="S38" s="17"/>
      <c r="T38" s="10"/>
      <c r="U38" s="10"/>
      <c r="V38" s="10"/>
    </row>
    <row r="39" spans="5:22" x14ac:dyDescent="0.3">
      <c r="E39" s="1">
        <v>3.14</v>
      </c>
      <c r="F39" s="1">
        <v>38</v>
      </c>
      <c r="G39" s="1">
        <f t="shared" si="8"/>
        <v>4534.16</v>
      </c>
      <c r="H39" s="1">
        <f t="shared" si="3"/>
        <v>238.64000000000001</v>
      </c>
      <c r="I39" s="1">
        <f t="shared" si="4"/>
        <v>263.15789473684214</v>
      </c>
      <c r="J39" s="1">
        <f t="shared" si="10"/>
        <v>1.1027400885720839</v>
      </c>
      <c r="K39" s="1">
        <v>5000</v>
      </c>
      <c r="L39" s="3">
        <f t="shared" si="6"/>
        <v>9331.4778947368413</v>
      </c>
      <c r="M39" s="9">
        <f t="shared" si="7"/>
        <v>7.8159184942745742E-3</v>
      </c>
      <c r="N39" s="9">
        <f t="shared" si="11"/>
        <v>0.73516005904805592</v>
      </c>
      <c r="O39" s="9"/>
      <c r="P39" s="9"/>
      <c r="Q39" s="9"/>
      <c r="R39" s="9"/>
      <c r="S39" s="17"/>
      <c r="T39" s="10"/>
      <c r="U39" s="10"/>
      <c r="V39" s="10"/>
    </row>
    <row r="40" spans="5:22" x14ac:dyDescent="0.3">
      <c r="E40" s="1">
        <v>3.14</v>
      </c>
      <c r="F40" s="1">
        <v>39</v>
      </c>
      <c r="G40" s="1">
        <f t="shared" si="8"/>
        <v>4775.9400000000005</v>
      </c>
      <c r="H40" s="1">
        <f t="shared" si="3"/>
        <v>244.92000000000002</v>
      </c>
      <c r="I40" s="1">
        <f t="shared" si="4"/>
        <v>256.41025641025641</v>
      </c>
      <c r="J40" s="1">
        <f t="shared" si="10"/>
        <v>1.0469143247193222</v>
      </c>
      <c r="K40" s="1">
        <v>5000</v>
      </c>
      <c r="L40" s="3">
        <f t="shared" si="6"/>
        <v>9808.2902564102569</v>
      </c>
      <c r="M40" s="9">
        <f t="shared" si="7"/>
        <v>7.4202408321712579E-3</v>
      </c>
      <c r="N40" s="9">
        <f t="shared" si="11"/>
        <v>0.69794288314621478</v>
      </c>
      <c r="O40" s="9"/>
      <c r="P40" s="9"/>
      <c r="Q40" s="9"/>
      <c r="R40" s="9"/>
      <c r="S40" s="17"/>
      <c r="T40" s="10"/>
      <c r="U40" s="10"/>
      <c r="V40" s="10"/>
    </row>
    <row r="41" spans="5:22" x14ac:dyDescent="0.3">
      <c r="E41" s="1">
        <v>3.14</v>
      </c>
      <c r="F41" s="1">
        <v>40</v>
      </c>
      <c r="G41" s="1">
        <f t="shared" si="8"/>
        <v>5024</v>
      </c>
      <c r="H41" s="1">
        <f t="shared" si="3"/>
        <v>251.20000000000002</v>
      </c>
      <c r="I41" s="1">
        <f t="shared" si="4"/>
        <v>250</v>
      </c>
      <c r="J41" s="1">
        <f t="shared" si="10"/>
        <v>0.99522292993630568</v>
      </c>
      <c r="K41" s="1">
        <v>5000</v>
      </c>
      <c r="L41" s="3">
        <f t="shared" si="6"/>
        <v>10298</v>
      </c>
      <c r="M41" s="9">
        <f t="shared" si="7"/>
        <v>7.053866441082802E-3</v>
      </c>
      <c r="N41" s="9">
        <f t="shared" si="11"/>
        <v>0.66348195329087045</v>
      </c>
      <c r="O41" s="9"/>
      <c r="P41" s="9"/>
      <c r="Q41" s="9"/>
      <c r="R41" s="9"/>
      <c r="S41" s="17"/>
      <c r="T41" s="10"/>
      <c r="U41" s="10"/>
      <c r="V41" s="10"/>
    </row>
    <row r="42" spans="5:22" x14ac:dyDescent="0.3">
      <c r="E42" s="1">
        <v>3.14</v>
      </c>
      <c r="F42" s="1">
        <v>41</v>
      </c>
      <c r="G42" s="1">
        <f t="shared" si="8"/>
        <v>5278.34</v>
      </c>
      <c r="H42" s="1">
        <f t="shared" si="3"/>
        <v>257.48</v>
      </c>
      <c r="I42" s="1">
        <f t="shared" si="4"/>
        <v>243.90243902439025</v>
      </c>
      <c r="J42" s="1">
        <f t="shared" si="10"/>
        <v>0.94726751213449678</v>
      </c>
      <c r="K42" s="1">
        <v>5000</v>
      </c>
      <c r="L42" s="3">
        <f t="shared" si="6"/>
        <v>10800.582439024391</v>
      </c>
      <c r="M42" s="9">
        <f t="shared" si="7"/>
        <v>6.7139716274434756E-3</v>
      </c>
      <c r="N42" s="9">
        <f t="shared" si="11"/>
        <v>0.63151167475633119</v>
      </c>
      <c r="O42" s="9"/>
      <c r="P42" s="9"/>
      <c r="Q42" s="9"/>
      <c r="R42" s="9"/>
      <c r="S42" s="17"/>
      <c r="T42" s="10"/>
      <c r="U42" s="10"/>
      <c r="V42" s="10"/>
    </row>
    <row r="43" spans="5:22" x14ac:dyDescent="0.3">
      <c r="E43" s="1">
        <v>3.14</v>
      </c>
      <c r="F43" s="1">
        <v>42</v>
      </c>
      <c r="G43" s="1">
        <f t="shared" si="8"/>
        <v>5538.96</v>
      </c>
      <c r="H43" s="1">
        <f t="shared" si="3"/>
        <v>263.76</v>
      </c>
      <c r="I43" s="1">
        <f t="shared" si="4"/>
        <v>238.09523809523807</v>
      </c>
      <c r="J43" s="1">
        <f t="shared" si="10"/>
        <v>0.90269653508961967</v>
      </c>
      <c r="K43" s="1">
        <v>5000</v>
      </c>
      <c r="L43" s="3">
        <f t="shared" si="6"/>
        <v>11316.015238095239</v>
      </c>
      <c r="M43" s="9">
        <f t="shared" si="7"/>
        <v>6.3980647991680739E-3</v>
      </c>
      <c r="N43" s="9">
        <f t="shared" si="11"/>
        <v>0.60179769005974648</v>
      </c>
      <c r="O43" s="9"/>
      <c r="P43" s="9"/>
      <c r="Q43" s="9"/>
      <c r="R43" s="9"/>
      <c r="S43" s="17"/>
      <c r="T43" s="10"/>
      <c r="U43" s="10"/>
      <c r="V43" s="10"/>
    </row>
    <row r="44" spans="5:22" x14ac:dyDescent="0.3">
      <c r="E44" s="1">
        <v>3.14</v>
      </c>
      <c r="F44" s="1">
        <v>43</v>
      </c>
      <c r="G44" s="1">
        <f t="shared" si="8"/>
        <v>5805.8600000000006</v>
      </c>
      <c r="H44" s="1">
        <f t="shared" si="3"/>
        <v>270.04000000000002</v>
      </c>
      <c r="I44" s="1">
        <f t="shared" si="4"/>
        <v>232.55813953488371</v>
      </c>
      <c r="J44" s="1">
        <f t="shared" si="10"/>
        <v>0.86119885770583504</v>
      </c>
      <c r="K44" s="1">
        <v>5000</v>
      </c>
      <c r="L44" s="3">
        <f t="shared" si="6"/>
        <v>11844.278139534885</v>
      </c>
      <c r="M44" s="9">
        <f t="shared" si="7"/>
        <v>6.1039406737330897E-3</v>
      </c>
      <c r="N44" s="9">
        <f t="shared" si="11"/>
        <v>0.57413257180388999</v>
      </c>
      <c r="O44" s="9"/>
      <c r="P44" s="9"/>
      <c r="Q44" s="9"/>
      <c r="R44" s="9"/>
      <c r="S44" s="17"/>
      <c r="T44" s="10"/>
      <c r="U44" s="10"/>
      <c r="V44" s="10"/>
    </row>
    <row r="45" spans="5:22" x14ac:dyDescent="0.3">
      <c r="E45" s="1">
        <v>3.14</v>
      </c>
      <c r="F45" s="1">
        <v>44</v>
      </c>
      <c r="G45" s="1">
        <f t="shared" si="8"/>
        <v>6079.04</v>
      </c>
      <c r="H45" s="1">
        <f t="shared" si="3"/>
        <v>276.32</v>
      </c>
      <c r="I45" s="1">
        <f t="shared" si="4"/>
        <v>227.27272727272728</v>
      </c>
      <c r="J45" s="1">
        <f t="shared" si="10"/>
        <v>0.8224982892035585</v>
      </c>
      <c r="K45" s="1">
        <v>5000</v>
      </c>
      <c r="L45" s="3">
        <f t="shared" si="6"/>
        <v>12385.352727272728</v>
      </c>
      <c r="M45" s="9">
        <f t="shared" si="7"/>
        <v>5.8296416868452916E-3</v>
      </c>
      <c r="N45" s="9">
        <f t="shared" si="11"/>
        <v>0.54833219280237233</v>
      </c>
      <c r="O45" s="9"/>
      <c r="P45" s="9"/>
      <c r="Q45" s="9"/>
      <c r="R45" s="9"/>
      <c r="S45" s="17"/>
      <c r="T45" s="10"/>
      <c r="U45" s="10"/>
      <c r="V45" s="10"/>
    </row>
    <row r="46" spans="5:22" x14ac:dyDescent="0.3">
      <c r="E46" s="1">
        <v>3.14</v>
      </c>
      <c r="F46" s="1">
        <v>45</v>
      </c>
      <c r="G46" s="1">
        <f t="shared" si="8"/>
        <v>6358.5</v>
      </c>
      <c r="H46" s="1">
        <f t="shared" si="3"/>
        <v>282.60000000000002</v>
      </c>
      <c r="I46" s="1">
        <f t="shared" si="4"/>
        <v>222.22222222222226</v>
      </c>
      <c r="J46" s="1">
        <f t="shared" si="10"/>
        <v>0.78634898167806877</v>
      </c>
      <c r="K46" s="1">
        <v>5000</v>
      </c>
      <c r="L46" s="3">
        <f t="shared" si="6"/>
        <v>12939.222222222223</v>
      </c>
      <c r="M46" s="9">
        <f t="shared" si="7"/>
        <v>5.5734253361641893E-3</v>
      </c>
      <c r="N46" s="9">
        <f t="shared" si="11"/>
        <v>0.52423265445204581</v>
      </c>
      <c r="O46" s="9"/>
      <c r="P46" s="9"/>
      <c r="Q46" s="9"/>
      <c r="R46" s="9"/>
      <c r="S46" s="17"/>
      <c r="T46" s="10"/>
      <c r="U46" s="10"/>
      <c r="V46" s="10"/>
    </row>
    <row r="47" spans="5:22" x14ac:dyDescent="0.3">
      <c r="E47" s="1">
        <v>3.14</v>
      </c>
      <c r="F47" s="1">
        <v>46</v>
      </c>
      <c r="G47" s="1">
        <f t="shared" si="8"/>
        <v>6644.2400000000007</v>
      </c>
      <c r="H47" s="1">
        <f t="shared" si="3"/>
        <v>288.88</v>
      </c>
      <c r="I47" s="1">
        <f t="shared" si="4"/>
        <v>217.39130434782606</v>
      </c>
      <c r="J47" s="1">
        <f t="shared" si="10"/>
        <v>0.75253151601989088</v>
      </c>
      <c r="K47" s="1">
        <v>5000</v>
      </c>
      <c r="L47" s="3">
        <f t="shared" si="6"/>
        <v>13505.871304347827</v>
      </c>
      <c r="M47" s="9">
        <f t="shared" si="7"/>
        <v>5.3337364393820806E-3</v>
      </c>
      <c r="N47" s="9">
        <f t="shared" si="11"/>
        <v>0.50168767734659392</v>
      </c>
      <c r="O47" s="9"/>
      <c r="P47" s="9"/>
      <c r="Q47" s="9"/>
      <c r="R47" s="9"/>
      <c r="S47" s="17"/>
      <c r="T47" s="10"/>
      <c r="U47" s="10"/>
      <c r="V47" s="10"/>
    </row>
    <row r="48" spans="5:22" x14ac:dyDescent="0.3">
      <c r="E48" s="1">
        <v>3.14</v>
      </c>
      <c r="F48" s="1">
        <v>47</v>
      </c>
      <c r="G48" s="1">
        <f t="shared" si="8"/>
        <v>6936.26</v>
      </c>
      <c r="H48" s="1">
        <f t="shared" si="3"/>
        <v>295.16000000000003</v>
      </c>
      <c r="I48" s="1">
        <f t="shared" si="4"/>
        <v>212.76595744680853</v>
      </c>
      <c r="J48" s="1">
        <f t="shared" si="10"/>
        <v>0.7208495644626931</v>
      </c>
      <c r="K48" s="1">
        <v>5000</v>
      </c>
      <c r="L48" s="3">
        <f t="shared" si="6"/>
        <v>14085.285957446809</v>
      </c>
      <c r="M48" s="9">
        <f t="shared" si="7"/>
        <v>5.109183479281341E-3</v>
      </c>
      <c r="N48" s="9">
        <f t="shared" si="11"/>
        <v>0.48056637630846205</v>
      </c>
      <c r="O48" s="9"/>
      <c r="P48" s="9"/>
      <c r="Q48" s="9"/>
      <c r="R48" s="9"/>
      <c r="S48" s="17"/>
      <c r="T48" s="10"/>
      <c r="U48" s="10"/>
      <c r="V48" s="10"/>
    </row>
    <row r="49" spans="5:22" x14ac:dyDescent="0.3">
      <c r="E49" s="1">
        <v>3.14</v>
      </c>
      <c r="F49" s="1">
        <v>48</v>
      </c>
      <c r="G49" s="1">
        <f t="shared" si="8"/>
        <v>7234.56</v>
      </c>
      <c r="H49" s="1">
        <f t="shared" si="3"/>
        <v>301.44</v>
      </c>
      <c r="I49" s="1">
        <f t="shared" si="4"/>
        <v>208.33333333333334</v>
      </c>
      <c r="J49" s="1">
        <f t="shared" si="10"/>
        <v>0.69112703467799008</v>
      </c>
      <c r="K49" s="1">
        <v>5000</v>
      </c>
      <c r="L49" s="3">
        <f t="shared" si="6"/>
        <v>14677.453333333335</v>
      </c>
      <c r="M49" s="9">
        <f t="shared" si="7"/>
        <v>4.898518361863057E-3</v>
      </c>
      <c r="N49" s="9">
        <f t="shared" si="11"/>
        <v>0.46075135645199339</v>
      </c>
      <c r="O49" s="9"/>
      <c r="P49" s="9"/>
      <c r="Q49" s="9"/>
      <c r="R49" s="9"/>
      <c r="S49" s="17"/>
      <c r="T49" s="10"/>
      <c r="U49" s="10"/>
      <c r="V49" s="10"/>
    </row>
    <row r="50" spans="5:22" x14ac:dyDescent="0.3">
      <c r="E50" s="1">
        <v>3.14</v>
      </c>
      <c r="F50" s="1">
        <v>49</v>
      </c>
      <c r="G50" s="1">
        <f t="shared" si="8"/>
        <v>7539.14</v>
      </c>
      <c r="H50" s="1">
        <f t="shared" si="3"/>
        <v>307.72000000000003</v>
      </c>
      <c r="I50" s="1">
        <f t="shared" si="4"/>
        <v>204.08163265306123</v>
      </c>
      <c r="J50" s="1">
        <f t="shared" si="10"/>
        <v>0.66320561761686347</v>
      </c>
      <c r="K50" s="1">
        <v>5000</v>
      </c>
      <c r="L50" s="3">
        <f t="shared" si="6"/>
        <v>15282.361632653063</v>
      </c>
      <c r="M50" s="9">
        <f t="shared" si="7"/>
        <v>4.700619036123484E-3</v>
      </c>
      <c r="N50" s="9">
        <f t="shared" si="11"/>
        <v>0.44213707841124233</v>
      </c>
      <c r="O50" s="9"/>
      <c r="P50" s="9"/>
      <c r="Q50" s="9"/>
      <c r="R50" s="9"/>
      <c r="S50" s="17"/>
      <c r="T50" s="10"/>
      <c r="U50" s="10"/>
      <c r="V50" s="10"/>
    </row>
    <row r="51" spans="5:22" x14ac:dyDescent="0.3">
      <c r="E51" s="1">
        <v>3.14</v>
      </c>
      <c r="F51" s="1">
        <v>50</v>
      </c>
      <c r="G51" s="1">
        <f t="shared" si="8"/>
        <v>7850</v>
      </c>
      <c r="H51" s="1">
        <f t="shared" si="3"/>
        <v>314</v>
      </c>
      <c r="I51" s="1">
        <f t="shared" si="4"/>
        <v>200</v>
      </c>
      <c r="J51" s="1">
        <f t="shared" si="10"/>
        <v>0.63694267515923564</v>
      </c>
      <c r="K51" s="1">
        <v>5000</v>
      </c>
      <c r="L51" s="3">
        <f t="shared" si="6"/>
        <v>15900</v>
      </c>
      <c r="M51" s="9">
        <f t="shared" si="7"/>
        <v>4.5144745222929928E-3</v>
      </c>
      <c r="N51" s="9">
        <f t="shared" si="11"/>
        <v>0.42462845010615707</v>
      </c>
      <c r="O51" s="9"/>
      <c r="P51" s="9"/>
      <c r="Q51" s="9"/>
      <c r="R51" s="9"/>
      <c r="S51" s="17"/>
      <c r="T51" s="10"/>
      <c r="U51" s="10"/>
      <c r="V51" s="10"/>
    </row>
    <row r="52" spans="5:22" x14ac:dyDescent="0.3">
      <c r="E52" s="1">
        <v>3.14</v>
      </c>
      <c r="F52" s="1">
        <v>51</v>
      </c>
      <c r="G52" s="1">
        <f t="shared" si="8"/>
        <v>8167.14</v>
      </c>
      <c r="H52" s="1">
        <f t="shared" si="3"/>
        <v>320.28000000000003</v>
      </c>
      <c r="I52" s="1">
        <f t="shared" si="4"/>
        <v>196.07843137254903</v>
      </c>
      <c r="J52" s="1">
        <f t="shared" si="10"/>
        <v>0.61220941480126456</v>
      </c>
      <c r="K52" s="1">
        <v>5000</v>
      </c>
      <c r="L52" s="3">
        <f t="shared" si="6"/>
        <v>16530.358431372551</v>
      </c>
      <c r="M52" s="9">
        <f t="shared" si="7"/>
        <v>4.339171974522292E-3</v>
      </c>
      <c r="N52" s="9">
        <f t="shared" si="11"/>
        <v>0.40813960986750969</v>
      </c>
      <c r="O52" s="9"/>
      <c r="P52" s="9"/>
      <c r="Q52" s="9"/>
      <c r="R52" s="9"/>
      <c r="S52" s="17"/>
      <c r="T52" s="10"/>
      <c r="U52" s="10"/>
      <c r="V52" s="10"/>
    </row>
    <row r="53" spans="5:22" x14ac:dyDescent="0.3">
      <c r="E53" s="1">
        <v>3.14</v>
      </c>
      <c r="F53" s="1">
        <v>52</v>
      </c>
      <c r="G53" s="1">
        <f t="shared" si="8"/>
        <v>8490.56</v>
      </c>
      <c r="H53" s="1">
        <f t="shared" si="3"/>
        <v>326.56</v>
      </c>
      <c r="I53" s="1">
        <f t="shared" si="4"/>
        <v>192.30769230769232</v>
      </c>
      <c r="J53" s="1">
        <f t="shared" si="10"/>
        <v>0.58888930765461878</v>
      </c>
      <c r="K53" s="1">
        <v>5000</v>
      </c>
      <c r="L53" s="3">
        <f t="shared" si="6"/>
        <v>17173.42769230769</v>
      </c>
      <c r="M53" s="9">
        <f t="shared" si="7"/>
        <v>4.173885468096333E-3</v>
      </c>
      <c r="N53" s="9">
        <f t="shared" si="11"/>
        <v>0.39259287176974583</v>
      </c>
      <c r="O53" s="9"/>
      <c r="P53" s="9"/>
      <c r="Q53" s="9"/>
      <c r="R53" s="9"/>
      <c r="S53" s="17"/>
      <c r="T53" s="10"/>
      <c r="U53" s="10"/>
      <c r="V53" s="10"/>
    </row>
    <row r="54" spans="5:22" x14ac:dyDescent="0.3">
      <c r="E54" s="1">
        <v>3.14</v>
      </c>
      <c r="F54" s="1">
        <v>53</v>
      </c>
      <c r="G54" s="1">
        <f t="shared" si="8"/>
        <v>8820.26</v>
      </c>
      <c r="H54" s="1">
        <f t="shared" si="3"/>
        <v>332.84000000000003</v>
      </c>
      <c r="I54" s="1">
        <f t="shared" si="4"/>
        <v>188.6792452830189</v>
      </c>
      <c r="J54" s="1">
        <f t="shared" si="10"/>
        <v>0.56687671338486623</v>
      </c>
      <c r="K54" s="1">
        <v>5000</v>
      </c>
      <c r="L54" s="3">
        <f t="shared" si="6"/>
        <v>17829.19924528302</v>
      </c>
      <c r="M54" s="9">
        <f t="shared" si="7"/>
        <v>4.0178662533757502E-3</v>
      </c>
      <c r="N54" s="9">
        <f t="shared" si="11"/>
        <v>0.37791780892324417</v>
      </c>
      <c r="O54" s="9"/>
      <c r="P54" s="9"/>
      <c r="Q54" s="9"/>
      <c r="R54" s="9"/>
      <c r="S54" s="17"/>
      <c r="T54" s="10"/>
      <c r="U54" s="10"/>
      <c r="V54" s="10"/>
    </row>
    <row r="55" spans="5:22" x14ac:dyDescent="0.3">
      <c r="E55" s="1">
        <v>3.14</v>
      </c>
      <c r="F55" s="1">
        <v>54</v>
      </c>
      <c r="G55" s="1">
        <f t="shared" si="8"/>
        <v>9156.24</v>
      </c>
      <c r="H55" s="1">
        <f t="shared" si="3"/>
        <v>339.12</v>
      </c>
      <c r="I55" s="1">
        <f t="shared" si="4"/>
        <v>185.18518518518519</v>
      </c>
      <c r="J55" s="1">
        <f t="shared" si="10"/>
        <v>0.54607568172088106</v>
      </c>
      <c r="K55" s="1">
        <v>5000</v>
      </c>
      <c r="L55" s="3">
        <f t="shared" si="6"/>
        <v>18497.665185185186</v>
      </c>
      <c r="M55" s="9">
        <f t="shared" si="7"/>
        <v>3.8704342612251321E-3</v>
      </c>
      <c r="N55" s="9">
        <f t="shared" si="11"/>
        <v>0.36405045448058737</v>
      </c>
      <c r="O55" s="9"/>
      <c r="P55" s="9"/>
      <c r="Q55" s="9"/>
      <c r="R55" s="9"/>
      <c r="S55" s="17"/>
      <c r="T55" s="10"/>
      <c r="U55" s="10"/>
      <c r="V55" s="10"/>
    </row>
    <row r="56" spans="5:22" x14ac:dyDescent="0.3">
      <c r="E56" s="1">
        <v>3.14</v>
      </c>
      <c r="F56" s="1">
        <v>55</v>
      </c>
      <c r="G56" s="1">
        <f t="shared" si="8"/>
        <v>9498.5</v>
      </c>
      <c r="H56" s="1">
        <f t="shared" si="3"/>
        <v>345.40000000000003</v>
      </c>
      <c r="I56" s="1">
        <f t="shared" si="4"/>
        <v>181.81818181818184</v>
      </c>
      <c r="J56" s="1">
        <f t="shared" si="10"/>
        <v>0.52639890509027742</v>
      </c>
      <c r="K56" s="1">
        <v>5000</v>
      </c>
      <c r="L56" s="3">
        <f t="shared" si="6"/>
        <v>19178.81818181818</v>
      </c>
      <c r="M56" s="9">
        <f t="shared" si="7"/>
        <v>3.7309706795809862E-3</v>
      </c>
      <c r="N56" s="9">
        <f t="shared" si="11"/>
        <v>0.35093260339351828</v>
      </c>
      <c r="O56" s="9"/>
      <c r="P56" s="9"/>
      <c r="Q56" s="9"/>
      <c r="R56" s="9"/>
      <c r="S56" s="17"/>
      <c r="T56" s="10"/>
      <c r="U56" s="10"/>
      <c r="V56" s="10"/>
    </row>
    <row r="57" spans="5:22" x14ac:dyDescent="0.3">
      <c r="E57" s="1">
        <v>3.14</v>
      </c>
      <c r="F57" s="1">
        <v>56</v>
      </c>
      <c r="G57" s="1">
        <f t="shared" si="8"/>
        <v>9847.0400000000009</v>
      </c>
      <c r="H57" s="1">
        <f t="shared" si="3"/>
        <v>351.68</v>
      </c>
      <c r="I57" s="1">
        <f t="shared" si="4"/>
        <v>178.57142857142856</v>
      </c>
      <c r="J57" s="1">
        <f t="shared" si="10"/>
        <v>0.50776680098791105</v>
      </c>
      <c r="K57" s="1">
        <v>5000</v>
      </c>
      <c r="L57" s="3">
        <f t="shared" si="6"/>
        <v>19872.651428571429</v>
      </c>
      <c r="M57" s="9">
        <f t="shared" si="7"/>
        <v>3.5989114495320416E-3</v>
      </c>
      <c r="N57" s="9">
        <f t="shared" si="11"/>
        <v>0.33851120065860735</v>
      </c>
      <c r="O57" s="9"/>
      <c r="P57" s="9"/>
      <c r="Q57" s="9"/>
      <c r="R57" s="9"/>
      <c r="S57" s="17"/>
      <c r="T57" s="10"/>
      <c r="U57" s="10"/>
      <c r="V57" s="10"/>
    </row>
    <row r="58" spans="5:22" x14ac:dyDescent="0.3">
      <c r="E58" s="1">
        <v>3.14</v>
      </c>
      <c r="F58" s="1">
        <v>57</v>
      </c>
      <c r="G58" s="1">
        <f t="shared" si="8"/>
        <v>10201.86</v>
      </c>
      <c r="H58" s="1">
        <f t="shared" si="3"/>
        <v>357.96000000000004</v>
      </c>
      <c r="I58" s="1">
        <f t="shared" si="4"/>
        <v>175.43859649122808</v>
      </c>
      <c r="J58" s="1">
        <f t="shared" si="10"/>
        <v>0.49010670603203726</v>
      </c>
      <c r="K58" s="1">
        <v>5000</v>
      </c>
      <c r="L58" s="3">
        <f t="shared" si="6"/>
        <v>20579.15859649123</v>
      </c>
      <c r="M58" s="9">
        <f t="shared" si="7"/>
        <v>3.4737415530109207E-3</v>
      </c>
      <c r="N58" s="9">
        <f t="shared" si="11"/>
        <v>0.32673780402135816</v>
      </c>
      <c r="O58" s="9"/>
      <c r="P58" s="9"/>
      <c r="Q58" s="9"/>
      <c r="R58" s="9"/>
      <c r="S58" s="17"/>
      <c r="T58" s="10"/>
      <c r="U58" s="10"/>
      <c r="V58" s="10"/>
    </row>
    <row r="59" spans="5:22" x14ac:dyDescent="0.3">
      <c r="E59" s="1">
        <v>3.14</v>
      </c>
      <c r="F59" s="1">
        <v>58</v>
      </c>
      <c r="G59" s="1">
        <f t="shared" si="8"/>
        <v>10562.960000000001</v>
      </c>
      <c r="H59" s="1">
        <f t="shared" si="3"/>
        <v>364.24</v>
      </c>
      <c r="I59" s="1">
        <f t="shared" si="4"/>
        <v>172.41379310344828</v>
      </c>
      <c r="J59" s="1">
        <f t="shared" si="10"/>
        <v>0.47335216643819533</v>
      </c>
      <c r="K59" s="1">
        <v>5000</v>
      </c>
      <c r="L59" s="3">
        <f t="shared" si="6"/>
        <v>21298.333793103451</v>
      </c>
      <c r="M59" s="9">
        <f t="shared" si="7"/>
        <v>3.354989983868158E-3</v>
      </c>
      <c r="N59" s="9">
        <f t="shared" si="11"/>
        <v>0.31556811095879689</v>
      </c>
      <c r="O59" s="9"/>
      <c r="P59" s="9"/>
      <c r="Q59" s="9"/>
      <c r="R59" s="9"/>
      <c r="S59" s="17"/>
      <c r="T59" s="10"/>
      <c r="U59" s="10"/>
      <c r="V59" s="10"/>
    </row>
    <row r="60" spans="5:22" x14ac:dyDescent="0.3">
      <c r="E60" s="1">
        <v>3.14</v>
      </c>
      <c r="F60" s="1">
        <v>59</v>
      </c>
      <c r="G60" s="1">
        <f t="shared" si="8"/>
        <v>10930.34</v>
      </c>
      <c r="H60" s="1">
        <f t="shared" si="3"/>
        <v>370.52000000000004</v>
      </c>
      <c r="I60" s="1">
        <f t="shared" si="4"/>
        <v>169.49152542372883</v>
      </c>
      <c r="J60" s="1">
        <f t="shared" si="10"/>
        <v>0.45744231195003998</v>
      </c>
      <c r="K60" s="1">
        <v>5000</v>
      </c>
      <c r="L60" s="3">
        <f t="shared" si="6"/>
        <v>22030.171525423728</v>
      </c>
      <c r="M60" s="9">
        <f t="shared" si="7"/>
        <v>3.2422253104660969E-3</v>
      </c>
      <c r="N60" s="9">
        <f t="shared" si="11"/>
        <v>0.30496154130002667</v>
      </c>
      <c r="O60" s="9"/>
      <c r="P60" s="9"/>
      <c r="Q60" s="9"/>
      <c r="R60" s="9"/>
      <c r="S60" s="17"/>
      <c r="T60" s="10"/>
      <c r="U60" s="10"/>
      <c r="V60" s="10"/>
    </row>
    <row r="61" spans="5:22" x14ac:dyDescent="0.3">
      <c r="E61" s="1">
        <v>3.14</v>
      </c>
      <c r="F61" s="1">
        <v>60</v>
      </c>
      <c r="G61" s="1">
        <f t="shared" si="8"/>
        <v>11304</v>
      </c>
      <c r="H61" s="1">
        <f t="shared" si="3"/>
        <v>376.8</v>
      </c>
      <c r="I61" s="1">
        <f t="shared" si="4"/>
        <v>166.66666666666666</v>
      </c>
      <c r="J61" s="1">
        <f t="shared" si="10"/>
        <v>0.44232130219391363</v>
      </c>
      <c r="K61" s="1">
        <v>5000</v>
      </c>
      <c r="L61" s="3">
        <f t="shared" si="6"/>
        <v>22774.666666666668</v>
      </c>
      <c r="M61" s="9">
        <f t="shared" si="7"/>
        <v>3.1350517515923567E-3</v>
      </c>
      <c r="N61" s="9">
        <f t="shared" si="11"/>
        <v>0.29488086812927577</v>
      </c>
      <c r="O61" s="9"/>
      <c r="P61" s="9"/>
      <c r="Q61" s="9"/>
      <c r="R61" s="9"/>
      <c r="S61" s="17"/>
      <c r="T61" s="10"/>
      <c r="U61" s="10"/>
      <c r="V61" s="10"/>
    </row>
    <row r="62" spans="5:22" x14ac:dyDescent="0.3">
      <c r="E62" s="1">
        <v>3.14</v>
      </c>
      <c r="F62" s="1">
        <v>61</v>
      </c>
      <c r="G62" s="1">
        <f t="shared" si="8"/>
        <v>11683.94</v>
      </c>
      <c r="H62" s="1">
        <f t="shared" si="3"/>
        <v>383.08000000000004</v>
      </c>
      <c r="I62" s="1">
        <f t="shared" si="4"/>
        <v>163.9344262295082</v>
      </c>
      <c r="J62" s="1">
        <f t="shared" si="10"/>
        <v>0.42793783603818575</v>
      </c>
      <c r="K62" s="1">
        <v>5000</v>
      </c>
      <c r="L62" s="3">
        <f t="shared" si="6"/>
        <v>23531.81442622951</v>
      </c>
      <c r="M62" s="9">
        <f t="shared" si="7"/>
        <v>3.0331056989337502E-3</v>
      </c>
      <c r="N62" s="9">
        <f t="shared" si="11"/>
        <v>0.28529189069212385</v>
      </c>
      <c r="O62" s="9"/>
      <c r="P62" s="9"/>
      <c r="Q62" s="9"/>
      <c r="R62" s="9"/>
      <c r="S62" s="17"/>
      <c r="T62" s="10"/>
      <c r="U62" s="10"/>
      <c r="V62" s="10"/>
    </row>
    <row r="63" spans="5:22" x14ac:dyDescent="0.3">
      <c r="E63" s="1">
        <v>3.14</v>
      </c>
      <c r="F63" s="1">
        <v>62</v>
      </c>
      <c r="G63" s="1">
        <f t="shared" si="8"/>
        <v>12070.16</v>
      </c>
      <c r="H63" s="1">
        <f t="shared" si="3"/>
        <v>389.36</v>
      </c>
      <c r="I63" s="1">
        <f t="shared" si="4"/>
        <v>161.29032258064515</v>
      </c>
      <c r="J63" s="1">
        <f t="shared" si="10"/>
        <v>0.41424471589440404</v>
      </c>
      <c r="K63" s="1">
        <v>5000</v>
      </c>
      <c r="L63" s="3">
        <f t="shared" si="6"/>
        <v>24301.610322580644</v>
      </c>
      <c r="M63" s="9">
        <f t="shared" si="7"/>
        <v>2.9360526289626656E-3</v>
      </c>
      <c r="N63" s="9">
        <f t="shared" si="11"/>
        <v>0.27616314392960267</v>
      </c>
      <c r="O63" s="9"/>
      <c r="P63" s="9"/>
      <c r="Q63" s="9"/>
      <c r="R63" s="9"/>
      <c r="S63" s="17"/>
      <c r="T63" s="10"/>
      <c r="U63" s="10"/>
      <c r="V63" s="10"/>
    </row>
    <row r="64" spans="5:22" x14ac:dyDescent="0.3">
      <c r="E64" s="1">
        <v>3.14</v>
      </c>
      <c r="F64" s="1">
        <v>63</v>
      </c>
      <c r="G64" s="1">
        <f t="shared" si="8"/>
        <v>12462.66</v>
      </c>
      <c r="H64" s="1">
        <f t="shared" si="3"/>
        <v>395.64000000000004</v>
      </c>
      <c r="I64" s="1">
        <f t="shared" si="4"/>
        <v>158.73015873015876</v>
      </c>
      <c r="J64" s="1">
        <f t="shared" si="10"/>
        <v>0.40119846003983101</v>
      </c>
      <c r="K64" s="1">
        <v>5000</v>
      </c>
      <c r="L64" s="3">
        <f t="shared" si="6"/>
        <v>25084.050158730159</v>
      </c>
      <c r="M64" s="9">
        <f t="shared" si="7"/>
        <v>2.843584355185811E-3</v>
      </c>
      <c r="N64" s="9">
        <f t="shared" si="11"/>
        <v>0.26746564002655399</v>
      </c>
      <c r="O64" s="9"/>
      <c r="P64" s="9"/>
      <c r="Q64" s="9"/>
      <c r="R64" s="9"/>
      <c r="S64" s="17"/>
      <c r="T64" s="10"/>
      <c r="U64" s="10"/>
      <c r="V64" s="10"/>
    </row>
    <row r="65" spans="5:22" x14ac:dyDescent="0.3">
      <c r="E65" s="1">
        <v>3.14</v>
      </c>
      <c r="F65" s="1">
        <v>64</v>
      </c>
      <c r="G65" s="1">
        <f t="shared" si="8"/>
        <v>12861.44</v>
      </c>
      <c r="H65" s="1">
        <f t="shared" si="3"/>
        <v>401.92</v>
      </c>
      <c r="I65" s="1">
        <f t="shared" si="4"/>
        <v>156.25</v>
      </c>
      <c r="J65" s="1">
        <f t="shared" si="10"/>
        <v>0.38875895700636942</v>
      </c>
      <c r="K65" s="1">
        <v>5000</v>
      </c>
      <c r="L65" s="3">
        <f t="shared" si="6"/>
        <v>25879.13</v>
      </c>
      <c r="M65" s="9">
        <f t="shared" si="7"/>
        <v>2.7554165785479692E-3</v>
      </c>
      <c r="N65" s="9">
        <f t="shared" si="11"/>
        <v>0.25917263800424628</v>
      </c>
      <c r="O65" s="9"/>
      <c r="P65" s="9"/>
      <c r="Q65" s="9"/>
      <c r="R65" s="9"/>
      <c r="S65" s="17"/>
      <c r="T65" s="10"/>
      <c r="U65" s="10"/>
      <c r="V65" s="10"/>
    </row>
    <row r="66" spans="5:22" x14ac:dyDescent="0.3">
      <c r="E66" s="1">
        <v>3.14</v>
      </c>
      <c r="F66" s="1">
        <v>65</v>
      </c>
      <c r="G66" s="1">
        <f t="shared" si="8"/>
        <v>13266.5</v>
      </c>
      <c r="H66" s="1">
        <f t="shared" si="3"/>
        <v>408.2</v>
      </c>
      <c r="I66" s="1">
        <f t="shared" ref="I66:I129" si="12">H66*J66</f>
        <v>153.84615384615384</v>
      </c>
      <c r="J66" s="1">
        <f t="shared" si="10"/>
        <v>0.37688915689895602</v>
      </c>
      <c r="K66" s="1">
        <v>5000</v>
      </c>
      <c r="L66" s="3">
        <f t="shared" si="6"/>
        <v>26686.846153846152</v>
      </c>
      <c r="M66" s="9">
        <f t="shared" si="7"/>
        <v>2.6712866995816523E-3</v>
      </c>
      <c r="N66" s="9">
        <f t="shared" si="11"/>
        <v>0.25125943793263733</v>
      </c>
      <c r="O66" s="9"/>
      <c r="P66" s="9"/>
      <c r="Q66" s="9"/>
      <c r="R66" s="9"/>
      <c r="S66" s="17"/>
      <c r="T66" s="10"/>
      <c r="U66" s="10"/>
      <c r="V66" s="10"/>
    </row>
    <row r="67" spans="5:22" x14ac:dyDescent="0.3">
      <c r="E67" s="1">
        <v>3.14</v>
      </c>
      <c r="F67" s="1">
        <v>66</v>
      </c>
      <c r="G67" s="1">
        <f t="shared" si="8"/>
        <v>13677.84</v>
      </c>
      <c r="H67" s="1">
        <f t="shared" ref="H67:H130" si="13">2*E67*F67</f>
        <v>414.48</v>
      </c>
      <c r="I67" s="1">
        <f t="shared" si="12"/>
        <v>151.5151515151515</v>
      </c>
      <c r="J67" s="1">
        <f t="shared" ref="J67:J130" si="14">K67/G67</f>
        <v>0.36555479520158152</v>
      </c>
      <c r="K67" s="1">
        <v>5000</v>
      </c>
      <c r="L67" s="3">
        <f t="shared" ref="L67:L130" si="15">(G67*2)+I67</f>
        <v>27507.195151515152</v>
      </c>
      <c r="M67" s="9">
        <f t="shared" ref="M67:M130" si="16">$C$8*J67*0.85*9.81*10^-6</f>
        <v>2.5909518608201298E-3</v>
      </c>
      <c r="N67" s="9">
        <f t="shared" si="11"/>
        <v>0.24370319680105434</v>
      </c>
      <c r="O67" s="9"/>
      <c r="P67" s="9"/>
      <c r="Q67" s="9"/>
      <c r="R67" s="9"/>
      <c r="S67" s="17"/>
      <c r="T67" s="10"/>
      <c r="U67" s="10"/>
      <c r="V67" s="10"/>
    </row>
    <row r="68" spans="5:22" x14ac:dyDescent="0.3">
      <c r="E68" s="1">
        <v>3.14</v>
      </c>
      <c r="F68" s="1">
        <v>67</v>
      </c>
      <c r="G68" s="1">
        <f t="shared" ref="G68:G131" si="17">E68*F68^2</f>
        <v>14095.460000000001</v>
      </c>
      <c r="H68" s="1">
        <f t="shared" si="13"/>
        <v>420.76</v>
      </c>
      <c r="I68" s="1">
        <f t="shared" si="12"/>
        <v>149.25373134328356</v>
      </c>
      <c r="J68" s="1">
        <f t="shared" si="14"/>
        <v>0.35472414522122725</v>
      </c>
      <c r="K68" s="1">
        <v>5000</v>
      </c>
      <c r="L68" s="3">
        <f t="shared" si="15"/>
        <v>28340.173731343286</v>
      </c>
      <c r="M68" s="9">
        <f t="shared" si="16"/>
        <v>2.5141871921881228E-3</v>
      </c>
      <c r="N68" s="9">
        <f t="shared" si="11"/>
        <v>0.23648276348081818</v>
      </c>
      <c r="O68" s="9"/>
      <c r="P68" s="9"/>
      <c r="Q68" s="9"/>
      <c r="R68" s="9"/>
      <c r="S68" s="17"/>
      <c r="T68" s="10"/>
      <c r="U68" s="10"/>
      <c r="V68" s="10"/>
    </row>
    <row r="69" spans="5:22" x14ac:dyDescent="0.3">
      <c r="E69" s="1">
        <v>3.14</v>
      </c>
      <c r="F69" s="1">
        <v>68</v>
      </c>
      <c r="G69" s="1">
        <f t="shared" si="17"/>
        <v>14519.36</v>
      </c>
      <c r="H69" s="1">
        <f t="shared" si="13"/>
        <v>427.04</v>
      </c>
      <c r="I69" s="1">
        <f t="shared" si="12"/>
        <v>147.05882352941177</v>
      </c>
      <c r="J69" s="1">
        <f t="shared" si="14"/>
        <v>0.34436779582571131</v>
      </c>
      <c r="K69" s="1">
        <v>5000</v>
      </c>
      <c r="L69" s="3">
        <f t="shared" si="15"/>
        <v>29185.778823529414</v>
      </c>
      <c r="M69" s="9">
        <f t="shared" si="16"/>
        <v>2.4407842356687897E-3</v>
      </c>
      <c r="N69" s="9">
        <f t="shared" ref="N69:N132" si="18">J69/1.5</f>
        <v>0.2295785305504742</v>
      </c>
      <c r="O69" s="9"/>
      <c r="P69" s="9"/>
      <c r="Q69" s="9"/>
      <c r="R69" s="9"/>
      <c r="S69" s="17"/>
      <c r="T69" s="10"/>
      <c r="U69" s="10"/>
      <c r="V69" s="10"/>
    </row>
    <row r="70" spans="5:22" x14ac:dyDescent="0.3">
      <c r="E70" s="1">
        <v>3.14</v>
      </c>
      <c r="F70" s="1">
        <v>69</v>
      </c>
      <c r="G70" s="1">
        <f t="shared" si="17"/>
        <v>14949.54</v>
      </c>
      <c r="H70" s="1">
        <f t="shared" si="13"/>
        <v>433.32</v>
      </c>
      <c r="I70" s="1">
        <f t="shared" si="12"/>
        <v>144.92753623188406</v>
      </c>
      <c r="J70" s="1">
        <f t="shared" si="14"/>
        <v>0.33445845156439596</v>
      </c>
      <c r="K70" s="1">
        <v>5000</v>
      </c>
      <c r="L70" s="3">
        <f t="shared" si="15"/>
        <v>30044.007536231886</v>
      </c>
      <c r="M70" s="9">
        <f t="shared" si="16"/>
        <v>2.3705495286142587E-3</v>
      </c>
      <c r="N70" s="9">
        <f t="shared" si="18"/>
        <v>0.22297230104293064</v>
      </c>
      <c r="O70" s="9"/>
      <c r="P70" s="9"/>
      <c r="Q70" s="9"/>
      <c r="R70" s="9"/>
      <c r="S70" s="17"/>
      <c r="T70" s="10"/>
      <c r="U70" s="10"/>
      <c r="V70" s="10"/>
    </row>
    <row r="71" spans="5:22" x14ac:dyDescent="0.3">
      <c r="E71" s="1">
        <v>3.14</v>
      </c>
      <c r="F71" s="1">
        <v>70</v>
      </c>
      <c r="G71" s="1">
        <f t="shared" si="17"/>
        <v>15386</v>
      </c>
      <c r="H71" s="1">
        <f t="shared" si="13"/>
        <v>439.6</v>
      </c>
      <c r="I71" s="1">
        <f t="shared" si="12"/>
        <v>142.85714285714286</v>
      </c>
      <c r="J71" s="1">
        <f t="shared" si="14"/>
        <v>0.3249707526322631</v>
      </c>
      <c r="K71" s="1">
        <v>5000</v>
      </c>
      <c r="L71" s="3">
        <f t="shared" si="15"/>
        <v>30914.857142857141</v>
      </c>
      <c r="M71" s="9">
        <f t="shared" si="16"/>
        <v>2.3033033277005074E-3</v>
      </c>
      <c r="N71" s="9">
        <f t="shared" si="18"/>
        <v>0.21664716842150875</v>
      </c>
      <c r="O71" s="9"/>
      <c r="P71" s="9"/>
      <c r="Q71" s="9"/>
      <c r="R71" s="9"/>
      <c r="S71" s="17"/>
      <c r="T71" s="10"/>
      <c r="U71" s="10"/>
      <c r="V71" s="10"/>
    </row>
    <row r="72" spans="5:22" x14ac:dyDescent="0.3">
      <c r="E72" s="1">
        <v>3.14</v>
      </c>
      <c r="F72" s="1">
        <v>71</v>
      </c>
      <c r="G72" s="1">
        <f t="shared" si="17"/>
        <v>15828.74</v>
      </c>
      <c r="H72" s="1">
        <f t="shared" si="13"/>
        <v>445.88</v>
      </c>
      <c r="I72" s="1">
        <f t="shared" si="12"/>
        <v>140.84507042253523</v>
      </c>
      <c r="J72" s="1">
        <f t="shared" si="14"/>
        <v>0.31588111245746664</v>
      </c>
      <c r="K72" s="1">
        <v>5000</v>
      </c>
      <c r="L72" s="3">
        <f t="shared" si="15"/>
        <v>31798.325070422536</v>
      </c>
      <c r="M72" s="9">
        <f t="shared" si="16"/>
        <v>2.2388784577925978E-3</v>
      </c>
      <c r="N72" s="9">
        <f t="shared" si="18"/>
        <v>0.21058740830497777</v>
      </c>
      <c r="O72" s="9"/>
      <c r="P72" s="9"/>
      <c r="Q72" s="9"/>
      <c r="R72" s="9"/>
      <c r="S72" s="17"/>
      <c r="T72" s="10"/>
      <c r="U72" s="10"/>
      <c r="V72" s="10"/>
    </row>
    <row r="73" spans="5:22" x14ac:dyDescent="0.3">
      <c r="E73" s="1">
        <v>3.14</v>
      </c>
      <c r="F73" s="1">
        <v>72</v>
      </c>
      <c r="G73" s="1">
        <f t="shared" si="17"/>
        <v>16277.76</v>
      </c>
      <c r="H73" s="1">
        <f t="shared" si="13"/>
        <v>452.16</v>
      </c>
      <c r="I73" s="1">
        <f t="shared" si="12"/>
        <v>138.88888888888889</v>
      </c>
      <c r="J73" s="1">
        <f t="shared" si="14"/>
        <v>0.30716757096799557</v>
      </c>
      <c r="K73" s="1">
        <v>5000</v>
      </c>
      <c r="L73" s="3">
        <f t="shared" si="15"/>
        <v>32694.408888888891</v>
      </c>
      <c r="M73" s="9">
        <f t="shared" si="16"/>
        <v>2.1771192719391365E-3</v>
      </c>
      <c r="N73" s="9">
        <f t="shared" si="18"/>
        <v>0.20477838064533038</v>
      </c>
      <c r="O73" s="9"/>
      <c r="P73" s="9"/>
      <c r="Q73" s="9"/>
      <c r="R73" s="9"/>
      <c r="S73" s="17"/>
      <c r="T73" s="10"/>
      <c r="U73" s="10"/>
      <c r="V73" s="10"/>
    </row>
    <row r="74" spans="5:22" x14ac:dyDescent="0.3">
      <c r="E74" s="1">
        <v>3.14</v>
      </c>
      <c r="F74" s="1">
        <v>73</v>
      </c>
      <c r="G74" s="1">
        <f t="shared" si="17"/>
        <v>16733.060000000001</v>
      </c>
      <c r="H74" s="1">
        <f t="shared" si="13"/>
        <v>458.44</v>
      </c>
      <c r="I74" s="1">
        <f t="shared" si="12"/>
        <v>136.98630136986301</v>
      </c>
      <c r="J74" s="1">
        <f t="shared" si="14"/>
        <v>0.2988096618311295</v>
      </c>
      <c r="K74" s="1">
        <v>5000</v>
      </c>
      <c r="L74" s="3">
        <f t="shared" si="15"/>
        <v>33603.106301369866</v>
      </c>
      <c r="M74" s="9">
        <f t="shared" si="16"/>
        <v>2.1178807104020418E-3</v>
      </c>
      <c r="N74" s="9">
        <f t="shared" si="18"/>
        <v>0.19920644122075301</v>
      </c>
      <c r="O74" s="9"/>
      <c r="P74" s="9"/>
      <c r="Q74" s="9"/>
      <c r="R74" s="9"/>
      <c r="S74" s="17"/>
      <c r="T74" s="10"/>
      <c r="U74" s="10"/>
      <c r="V74" s="10"/>
    </row>
    <row r="75" spans="5:22" x14ac:dyDescent="0.3">
      <c r="E75" s="1">
        <v>3.14</v>
      </c>
      <c r="F75" s="1">
        <v>74</v>
      </c>
      <c r="G75" s="1">
        <f t="shared" si="17"/>
        <v>17194.64</v>
      </c>
      <c r="H75" s="1">
        <f t="shared" si="13"/>
        <v>464.72</v>
      </c>
      <c r="I75" s="1">
        <f t="shared" si="12"/>
        <v>135.13513513513516</v>
      </c>
      <c r="J75" s="1">
        <f t="shared" si="14"/>
        <v>0.29078829216546553</v>
      </c>
      <c r="K75" s="1">
        <v>5000</v>
      </c>
      <c r="L75" s="3">
        <f t="shared" si="15"/>
        <v>34524.415135135132</v>
      </c>
      <c r="M75" s="9">
        <f t="shared" si="16"/>
        <v>2.0610274480884739E-3</v>
      </c>
      <c r="N75" s="9">
        <f t="shared" si="18"/>
        <v>0.1938588614436437</v>
      </c>
      <c r="O75" s="9"/>
      <c r="P75" s="9"/>
      <c r="Q75" s="9"/>
      <c r="R75" s="9"/>
      <c r="S75" s="17"/>
      <c r="T75" s="10"/>
      <c r="U75" s="10"/>
      <c r="V75" s="10"/>
    </row>
    <row r="76" spans="5:22" x14ac:dyDescent="0.3">
      <c r="E76" s="1">
        <v>3.14</v>
      </c>
      <c r="F76" s="1">
        <v>75</v>
      </c>
      <c r="G76" s="1">
        <f t="shared" si="17"/>
        <v>17662.5</v>
      </c>
      <c r="H76" s="1">
        <f t="shared" si="13"/>
        <v>471</v>
      </c>
      <c r="I76" s="1">
        <f t="shared" si="12"/>
        <v>133.33333333333334</v>
      </c>
      <c r="J76" s="1">
        <f t="shared" si="14"/>
        <v>0.28308563340410475</v>
      </c>
      <c r="K76" s="1">
        <v>5000</v>
      </c>
      <c r="L76" s="3">
        <f t="shared" si="15"/>
        <v>35458.333333333336</v>
      </c>
      <c r="M76" s="9">
        <f t="shared" si="16"/>
        <v>2.0064331210191081E-3</v>
      </c>
      <c r="N76" s="9">
        <f t="shared" si="18"/>
        <v>0.18872375560273649</v>
      </c>
      <c r="O76" s="9"/>
      <c r="P76" s="9"/>
      <c r="Q76" s="9"/>
      <c r="R76" s="9"/>
      <c r="S76" s="17"/>
      <c r="T76" s="10"/>
      <c r="U76" s="10"/>
      <c r="V76" s="10"/>
    </row>
    <row r="77" spans="5:22" x14ac:dyDescent="0.3">
      <c r="E77" s="1">
        <v>3.14</v>
      </c>
      <c r="F77" s="1">
        <v>76</v>
      </c>
      <c r="G77" s="1">
        <f t="shared" si="17"/>
        <v>18136.64</v>
      </c>
      <c r="H77" s="1">
        <f t="shared" si="13"/>
        <v>477.28000000000003</v>
      </c>
      <c r="I77" s="1">
        <f t="shared" si="12"/>
        <v>131.57894736842107</v>
      </c>
      <c r="J77" s="1">
        <f t="shared" si="14"/>
        <v>0.27568502214302099</v>
      </c>
      <c r="K77" s="1">
        <v>5000</v>
      </c>
      <c r="L77" s="3">
        <f t="shared" si="15"/>
        <v>36404.858947368419</v>
      </c>
      <c r="M77" s="9">
        <f t="shared" si="16"/>
        <v>1.9539796235686436E-3</v>
      </c>
      <c r="N77" s="9">
        <f t="shared" si="18"/>
        <v>0.18379001476201398</v>
      </c>
      <c r="O77" s="9"/>
      <c r="P77" s="9"/>
      <c r="Q77" s="9"/>
      <c r="R77" s="9"/>
      <c r="S77" s="17"/>
      <c r="T77" s="10"/>
      <c r="U77" s="10"/>
      <c r="V77" s="10"/>
    </row>
    <row r="78" spans="5:22" x14ac:dyDescent="0.3">
      <c r="E78" s="1">
        <v>3.14</v>
      </c>
      <c r="F78" s="1">
        <v>77</v>
      </c>
      <c r="G78" s="1">
        <f t="shared" si="17"/>
        <v>18617.060000000001</v>
      </c>
      <c r="H78" s="1">
        <f t="shared" si="13"/>
        <v>483.56</v>
      </c>
      <c r="I78" s="1">
        <f t="shared" si="12"/>
        <v>129.87012987012986</v>
      </c>
      <c r="J78" s="1">
        <f t="shared" si="14"/>
        <v>0.26857086994401907</v>
      </c>
      <c r="K78" s="1">
        <v>5000</v>
      </c>
      <c r="L78" s="3">
        <f t="shared" si="15"/>
        <v>37363.99012987013</v>
      </c>
      <c r="M78" s="9">
        <f t="shared" si="16"/>
        <v>1.9035564691739725E-3</v>
      </c>
      <c r="N78" s="9">
        <f t="shared" si="18"/>
        <v>0.17904724662934604</v>
      </c>
      <c r="O78" s="9"/>
      <c r="P78" s="9"/>
      <c r="Q78" s="9"/>
      <c r="R78" s="9"/>
      <c r="S78" s="17"/>
      <c r="T78" s="10"/>
      <c r="U78" s="10"/>
      <c r="V78" s="10"/>
    </row>
    <row r="79" spans="5:22" x14ac:dyDescent="0.3">
      <c r="E79" s="1">
        <v>3.14</v>
      </c>
      <c r="F79" s="1">
        <v>78</v>
      </c>
      <c r="G79" s="1">
        <f t="shared" si="17"/>
        <v>19103.760000000002</v>
      </c>
      <c r="H79" s="1">
        <f t="shared" si="13"/>
        <v>489.84000000000003</v>
      </c>
      <c r="I79" s="1">
        <f t="shared" si="12"/>
        <v>128.2051282051282</v>
      </c>
      <c r="J79" s="1">
        <f t="shared" si="14"/>
        <v>0.26172858117983056</v>
      </c>
      <c r="K79" s="1">
        <v>5000</v>
      </c>
      <c r="L79" s="3">
        <f t="shared" si="15"/>
        <v>38335.725128205129</v>
      </c>
      <c r="M79" s="9">
        <f t="shared" si="16"/>
        <v>1.8550602080428145E-3</v>
      </c>
      <c r="N79" s="9">
        <f t="shared" si="18"/>
        <v>0.17448572078655369</v>
      </c>
      <c r="O79" s="9"/>
      <c r="P79" s="9"/>
      <c r="Q79" s="9"/>
      <c r="R79" s="9"/>
      <c r="S79" s="17"/>
      <c r="T79" s="10"/>
      <c r="U79" s="10"/>
      <c r="V79" s="10"/>
    </row>
    <row r="80" spans="5:22" x14ac:dyDescent="0.3">
      <c r="E80" s="1">
        <v>3.14</v>
      </c>
      <c r="F80" s="1">
        <v>79</v>
      </c>
      <c r="G80" s="1">
        <f t="shared" si="17"/>
        <v>19596.740000000002</v>
      </c>
      <c r="H80" s="1">
        <f t="shared" si="13"/>
        <v>496.12</v>
      </c>
      <c r="I80" s="1">
        <f t="shared" si="12"/>
        <v>126.58227848101265</v>
      </c>
      <c r="J80" s="1">
        <f t="shared" si="14"/>
        <v>0.25514447811217578</v>
      </c>
      <c r="K80" s="1">
        <v>5000</v>
      </c>
      <c r="L80" s="3">
        <f t="shared" si="15"/>
        <v>39320.062278481018</v>
      </c>
      <c r="M80" s="9">
        <f t="shared" si="16"/>
        <v>1.8083938961276208E-3</v>
      </c>
      <c r="N80" s="9">
        <f t="shared" si="18"/>
        <v>0.17009631874145051</v>
      </c>
      <c r="O80" s="9"/>
      <c r="P80" s="9"/>
      <c r="Q80" s="9"/>
      <c r="R80" s="9"/>
      <c r="S80" s="17"/>
      <c r="T80" s="10"/>
      <c r="U80" s="10"/>
      <c r="V80" s="10"/>
    </row>
    <row r="81" spans="5:22" x14ac:dyDescent="0.3">
      <c r="E81" s="1">
        <v>3.14</v>
      </c>
      <c r="F81" s="1">
        <v>80</v>
      </c>
      <c r="G81" s="1">
        <f t="shared" si="17"/>
        <v>20096</v>
      </c>
      <c r="H81" s="1">
        <f t="shared" si="13"/>
        <v>502.40000000000003</v>
      </c>
      <c r="I81" s="1">
        <f t="shared" si="12"/>
        <v>125</v>
      </c>
      <c r="J81" s="1">
        <f t="shared" si="14"/>
        <v>0.24880573248407642</v>
      </c>
      <c r="K81" s="1">
        <v>5000</v>
      </c>
      <c r="L81" s="3">
        <f t="shared" si="15"/>
        <v>40317</v>
      </c>
      <c r="M81" s="9">
        <f t="shared" si="16"/>
        <v>1.7634666102707005E-3</v>
      </c>
      <c r="N81" s="9">
        <f t="shared" si="18"/>
        <v>0.16587048832271761</v>
      </c>
      <c r="O81" s="9"/>
      <c r="P81" s="9"/>
      <c r="Q81" s="9"/>
      <c r="R81" s="9"/>
      <c r="S81" s="17"/>
      <c r="T81" s="10"/>
      <c r="U81" s="10"/>
      <c r="V81" s="10"/>
    </row>
    <row r="82" spans="5:22" x14ac:dyDescent="0.3">
      <c r="E82" s="1">
        <v>3.14</v>
      </c>
      <c r="F82" s="1">
        <v>81</v>
      </c>
      <c r="G82" s="1">
        <f t="shared" si="17"/>
        <v>20601.54</v>
      </c>
      <c r="H82" s="1">
        <f t="shared" si="13"/>
        <v>508.68</v>
      </c>
      <c r="I82" s="1">
        <f t="shared" si="12"/>
        <v>123.45679012345678</v>
      </c>
      <c r="J82" s="1">
        <f t="shared" si="14"/>
        <v>0.24270030298705825</v>
      </c>
      <c r="K82" s="1">
        <v>5000</v>
      </c>
      <c r="L82" s="3">
        <f t="shared" si="15"/>
        <v>41326.536790123457</v>
      </c>
      <c r="M82" s="9">
        <f t="shared" si="16"/>
        <v>1.7201930049889475E-3</v>
      </c>
      <c r="N82" s="9">
        <f t="shared" si="18"/>
        <v>0.16180020199137216</v>
      </c>
      <c r="O82" s="9"/>
      <c r="P82" s="9"/>
      <c r="Q82" s="9"/>
      <c r="R82" s="9"/>
      <c r="S82" s="17"/>
      <c r="T82" s="10"/>
      <c r="U82" s="10"/>
      <c r="V82" s="10"/>
    </row>
    <row r="83" spans="5:22" x14ac:dyDescent="0.3">
      <c r="E83" s="1">
        <v>3.14</v>
      </c>
      <c r="F83" s="1">
        <v>82</v>
      </c>
      <c r="G83" s="1">
        <f t="shared" si="17"/>
        <v>21113.360000000001</v>
      </c>
      <c r="H83" s="1">
        <f t="shared" si="13"/>
        <v>514.96</v>
      </c>
      <c r="I83" s="1">
        <f t="shared" si="12"/>
        <v>121.95121951219512</v>
      </c>
      <c r="J83" s="1">
        <f t="shared" si="14"/>
        <v>0.2368168780336242</v>
      </c>
      <c r="K83" s="1">
        <v>5000</v>
      </c>
      <c r="L83" s="3">
        <f t="shared" si="15"/>
        <v>42348.671219512195</v>
      </c>
      <c r="M83" s="9">
        <f t="shared" si="16"/>
        <v>1.6784929068608689E-3</v>
      </c>
      <c r="N83" s="9">
        <f t="shared" si="18"/>
        <v>0.1578779186890828</v>
      </c>
      <c r="O83" s="9"/>
      <c r="P83" s="9"/>
      <c r="Q83" s="9"/>
      <c r="R83" s="9"/>
      <c r="S83" s="17"/>
      <c r="T83" s="10"/>
      <c r="U83" s="10"/>
      <c r="V83" s="10"/>
    </row>
    <row r="84" spans="5:22" x14ac:dyDescent="0.3">
      <c r="E84" s="1">
        <v>3.14</v>
      </c>
      <c r="F84" s="1">
        <v>83</v>
      </c>
      <c r="G84" s="1">
        <f t="shared" si="17"/>
        <v>21631.46</v>
      </c>
      <c r="H84" s="1">
        <f t="shared" si="13"/>
        <v>521.24</v>
      </c>
      <c r="I84" s="1">
        <f t="shared" si="12"/>
        <v>120.48192771084338</v>
      </c>
      <c r="J84" s="1">
        <f t="shared" si="14"/>
        <v>0.23114482332676575</v>
      </c>
      <c r="K84" s="1">
        <v>5000</v>
      </c>
      <c r="L84" s="3">
        <f t="shared" si="15"/>
        <v>43383.401927710838</v>
      </c>
      <c r="M84" s="9">
        <f t="shared" si="16"/>
        <v>1.6382909429137008E-3</v>
      </c>
      <c r="N84" s="9">
        <f t="shared" si="18"/>
        <v>0.15409654888451049</v>
      </c>
      <c r="O84" s="9"/>
      <c r="P84" s="9"/>
      <c r="Q84" s="9"/>
      <c r="R84" s="9"/>
      <c r="S84" s="17"/>
      <c r="T84" s="10"/>
      <c r="U84" s="10"/>
      <c r="V84" s="10"/>
    </row>
    <row r="85" spans="5:22" x14ac:dyDescent="0.3">
      <c r="E85" s="1">
        <v>3.14</v>
      </c>
      <c r="F85" s="1">
        <v>84</v>
      </c>
      <c r="G85" s="1">
        <f t="shared" si="17"/>
        <v>22155.84</v>
      </c>
      <c r="H85" s="1">
        <f t="shared" si="13"/>
        <v>527.52</v>
      </c>
      <c r="I85" s="1">
        <f t="shared" si="12"/>
        <v>119.04761904761904</v>
      </c>
      <c r="J85" s="1">
        <f t="shared" si="14"/>
        <v>0.22567413377240492</v>
      </c>
      <c r="K85" s="1">
        <v>5000</v>
      </c>
      <c r="L85" s="3">
        <f t="shared" si="15"/>
        <v>44430.727619047619</v>
      </c>
      <c r="M85" s="9">
        <f t="shared" si="16"/>
        <v>1.5995161997920185E-3</v>
      </c>
      <c r="N85" s="9">
        <f t="shared" si="18"/>
        <v>0.15044942251493662</v>
      </c>
      <c r="O85" s="9"/>
      <c r="P85" s="9"/>
      <c r="Q85" s="9"/>
      <c r="R85" s="9"/>
      <c r="S85" s="17"/>
      <c r="T85" s="10"/>
      <c r="U85" s="10"/>
      <c r="V85" s="10"/>
    </row>
    <row r="86" spans="5:22" x14ac:dyDescent="0.3">
      <c r="E86" s="1">
        <v>3.14</v>
      </c>
      <c r="F86" s="1">
        <v>85</v>
      </c>
      <c r="G86" s="1">
        <f t="shared" si="17"/>
        <v>22686.5</v>
      </c>
      <c r="H86" s="1">
        <f t="shared" si="13"/>
        <v>533.80000000000007</v>
      </c>
      <c r="I86" s="1">
        <f t="shared" si="12"/>
        <v>117.64705882352943</v>
      </c>
      <c r="J86" s="1">
        <f t="shared" si="14"/>
        <v>0.22039538932845526</v>
      </c>
      <c r="K86" s="1">
        <v>5000</v>
      </c>
      <c r="L86" s="3">
        <f t="shared" si="15"/>
        <v>45490.647058823532</v>
      </c>
      <c r="M86" s="9">
        <f t="shared" si="16"/>
        <v>1.5621019108280256E-3</v>
      </c>
      <c r="N86" s="9">
        <f t="shared" si="18"/>
        <v>0.14693025955230352</v>
      </c>
      <c r="O86" s="9"/>
      <c r="P86" s="9"/>
      <c r="Q86" s="9"/>
      <c r="R86" s="9"/>
      <c r="S86" s="17"/>
      <c r="T86" s="10"/>
      <c r="U86" s="10"/>
      <c r="V86" s="10"/>
    </row>
    <row r="87" spans="5:22" x14ac:dyDescent="0.3">
      <c r="E87" s="1">
        <v>3.14</v>
      </c>
      <c r="F87" s="1">
        <v>86</v>
      </c>
      <c r="G87" s="1">
        <f t="shared" si="17"/>
        <v>23223.440000000002</v>
      </c>
      <c r="H87" s="1">
        <f t="shared" si="13"/>
        <v>540.08000000000004</v>
      </c>
      <c r="I87" s="1">
        <f t="shared" si="12"/>
        <v>116.27906976744185</v>
      </c>
      <c r="J87" s="1">
        <f t="shared" si="14"/>
        <v>0.21529971442645876</v>
      </c>
      <c r="K87" s="1">
        <v>5000</v>
      </c>
      <c r="L87" s="3">
        <f t="shared" si="15"/>
        <v>46563.159069767447</v>
      </c>
      <c r="M87" s="9">
        <f t="shared" si="16"/>
        <v>1.5259851684332724E-3</v>
      </c>
      <c r="N87" s="9">
        <f t="shared" si="18"/>
        <v>0.1435331429509725</v>
      </c>
      <c r="O87" s="9"/>
      <c r="P87" s="9"/>
      <c r="Q87" s="9"/>
      <c r="R87" s="9"/>
      <c r="S87" s="17"/>
      <c r="T87" s="10"/>
      <c r="U87" s="10"/>
      <c r="V87" s="10"/>
    </row>
    <row r="88" spans="5:22" x14ac:dyDescent="0.3">
      <c r="E88" s="1">
        <v>3.14</v>
      </c>
      <c r="F88" s="1">
        <v>87</v>
      </c>
      <c r="G88" s="1">
        <f t="shared" si="17"/>
        <v>23766.66</v>
      </c>
      <c r="H88" s="1">
        <f t="shared" si="13"/>
        <v>546.36</v>
      </c>
      <c r="I88" s="1">
        <f t="shared" si="12"/>
        <v>114.94252873563218</v>
      </c>
      <c r="J88" s="1">
        <f t="shared" si="14"/>
        <v>0.21037874063919793</v>
      </c>
      <c r="K88" s="1">
        <v>5000</v>
      </c>
      <c r="L88" s="3">
        <f t="shared" si="15"/>
        <v>47648.262528735635</v>
      </c>
      <c r="M88" s="9">
        <f t="shared" si="16"/>
        <v>1.4911066594969593E-3</v>
      </c>
      <c r="N88" s="9">
        <f t="shared" si="18"/>
        <v>0.14025249375946527</v>
      </c>
      <c r="O88" s="9"/>
      <c r="P88" s="9"/>
      <c r="Q88" s="9"/>
      <c r="R88" s="9"/>
      <c r="S88" s="17"/>
      <c r="T88" s="10"/>
      <c r="U88" s="10"/>
      <c r="V88" s="10"/>
    </row>
    <row r="89" spans="5:22" x14ac:dyDescent="0.3">
      <c r="E89" s="1">
        <v>3.14</v>
      </c>
      <c r="F89" s="1">
        <v>88</v>
      </c>
      <c r="G89" s="1">
        <f t="shared" si="17"/>
        <v>24316.16</v>
      </c>
      <c r="H89" s="1">
        <f t="shared" si="13"/>
        <v>552.64</v>
      </c>
      <c r="I89" s="1">
        <f t="shared" si="12"/>
        <v>113.63636363636364</v>
      </c>
      <c r="J89" s="1">
        <f t="shared" si="14"/>
        <v>0.20562457230088962</v>
      </c>
      <c r="K89" s="1">
        <v>5000</v>
      </c>
      <c r="L89" s="3">
        <f t="shared" si="15"/>
        <v>48745.95636363636</v>
      </c>
      <c r="M89" s="9">
        <f t="shared" si="16"/>
        <v>1.4574104217113229E-3</v>
      </c>
      <c r="N89" s="9">
        <f t="shared" si="18"/>
        <v>0.13708304820059308</v>
      </c>
      <c r="O89" s="9"/>
      <c r="P89" s="9"/>
      <c r="Q89" s="9"/>
      <c r="R89" s="9"/>
      <c r="S89" s="17"/>
      <c r="T89" s="10"/>
      <c r="U89" s="10"/>
      <c r="V89" s="10"/>
    </row>
    <row r="90" spans="5:22" x14ac:dyDescent="0.3">
      <c r="E90" s="1">
        <v>3.14</v>
      </c>
      <c r="F90" s="1">
        <v>89</v>
      </c>
      <c r="G90" s="1">
        <f t="shared" si="17"/>
        <v>24871.940000000002</v>
      </c>
      <c r="H90" s="1">
        <f t="shared" si="13"/>
        <v>558.92000000000007</v>
      </c>
      <c r="I90" s="1">
        <f t="shared" si="12"/>
        <v>112.35955056179776</v>
      </c>
      <c r="J90" s="1">
        <f t="shared" si="14"/>
        <v>0.20102975481606983</v>
      </c>
      <c r="K90" s="1">
        <v>5000</v>
      </c>
      <c r="L90" s="3">
        <f t="shared" si="15"/>
        <v>49856.239550561804</v>
      </c>
      <c r="M90" s="9">
        <f t="shared" si="16"/>
        <v>1.4248436189537282E-3</v>
      </c>
      <c r="N90" s="9">
        <f t="shared" si="18"/>
        <v>0.13401983654404656</v>
      </c>
      <c r="O90" s="9"/>
      <c r="P90" s="9"/>
      <c r="Q90" s="9"/>
      <c r="R90" s="9"/>
      <c r="S90" s="17"/>
      <c r="T90" s="10"/>
      <c r="U90" s="10"/>
      <c r="V90" s="10"/>
    </row>
    <row r="91" spans="5:22" x14ac:dyDescent="0.3">
      <c r="E91" s="1">
        <v>3.14</v>
      </c>
      <c r="F91" s="1">
        <v>90</v>
      </c>
      <c r="G91" s="1">
        <f t="shared" si="17"/>
        <v>25434</v>
      </c>
      <c r="H91" s="1">
        <f t="shared" si="13"/>
        <v>565.20000000000005</v>
      </c>
      <c r="I91" s="1">
        <f t="shared" si="12"/>
        <v>111.11111111111113</v>
      </c>
      <c r="J91" s="1">
        <f t="shared" si="14"/>
        <v>0.19658724541951719</v>
      </c>
      <c r="K91" s="1">
        <v>5000</v>
      </c>
      <c r="L91" s="3">
        <f t="shared" si="15"/>
        <v>50979.111111111109</v>
      </c>
      <c r="M91" s="9">
        <f t="shared" si="16"/>
        <v>1.3933563340410473E-3</v>
      </c>
      <c r="N91" s="9">
        <f t="shared" si="18"/>
        <v>0.13105816361301145</v>
      </c>
      <c r="O91" s="9"/>
      <c r="P91" s="9"/>
      <c r="Q91" s="9"/>
      <c r="R91" s="9"/>
      <c r="S91" s="17"/>
      <c r="T91" s="10"/>
      <c r="U91" s="10"/>
      <c r="V91" s="10"/>
    </row>
    <row r="92" spans="5:22" x14ac:dyDescent="0.3">
      <c r="E92" s="1">
        <v>3.14</v>
      </c>
      <c r="F92" s="1">
        <v>91</v>
      </c>
      <c r="G92" s="1">
        <f t="shared" si="17"/>
        <v>26002.34</v>
      </c>
      <c r="H92" s="1">
        <f t="shared" si="13"/>
        <v>571.48</v>
      </c>
      <c r="I92" s="1">
        <f t="shared" si="12"/>
        <v>109.8901098901099</v>
      </c>
      <c r="J92" s="1">
        <f t="shared" si="14"/>
        <v>0.19229038617293676</v>
      </c>
      <c r="K92" s="1">
        <v>5000</v>
      </c>
      <c r="L92" s="3">
        <f t="shared" si="15"/>
        <v>52114.570109890112</v>
      </c>
      <c r="M92" s="9">
        <f t="shared" si="16"/>
        <v>1.3629013773375782E-3</v>
      </c>
      <c r="N92" s="9">
        <f t="shared" si="18"/>
        <v>0.12819359078195783</v>
      </c>
      <c r="O92" s="9"/>
      <c r="P92" s="9"/>
      <c r="Q92" s="9"/>
      <c r="R92" s="9"/>
      <c r="S92" s="17"/>
      <c r="T92" s="10"/>
      <c r="U92" s="10"/>
      <c r="V92" s="10"/>
    </row>
    <row r="93" spans="5:22" x14ac:dyDescent="0.3">
      <c r="E93" s="1">
        <v>3.14</v>
      </c>
      <c r="F93" s="1">
        <v>92</v>
      </c>
      <c r="G93" s="1">
        <f t="shared" si="17"/>
        <v>26576.960000000003</v>
      </c>
      <c r="H93" s="1">
        <f t="shared" si="13"/>
        <v>577.76</v>
      </c>
      <c r="I93" s="1">
        <f t="shared" si="12"/>
        <v>108.69565217391303</v>
      </c>
      <c r="J93" s="1">
        <f t="shared" si="14"/>
        <v>0.18813287900497272</v>
      </c>
      <c r="K93" s="1">
        <v>5000</v>
      </c>
      <c r="L93" s="3">
        <f t="shared" si="15"/>
        <v>53262.615652173918</v>
      </c>
      <c r="M93" s="9">
        <f t="shared" si="16"/>
        <v>1.3334341098455201E-3</v>
      </c>
      <c r="N93" s="9">
        <f t="shared" si="18"/>
        <v>0.12542191933664848</v>
      </c>
      <c r="O93" s="9"/>
      <c r="P93" s="9"/>
      <c r="Q93" s="9"/>
      <c r="R93" s="9"/>
      <c r="S93" s="17"/>
      <c r="T93" s="10"/>
      <c r="U93" s="10"/>
      <c r="V93" s="10"/>
    </row>
    <row r="94" spans="5:22" x14ac:dyDescent="0.3">
      <c r="E94" s="1">
        <v>3.14</v>
      </c>
      <c r="F94" s="1">
        <v>93</v>
      </c>
      <c r="G94" s="1">
        <f t="shared" si="17"/>
        <v>27157.86</v>
      </c>
      <c r="H94" s="1">
        <f t="shared" si="13"/>
        <v>584.04000000000008</v>
      </c>
      <c r="I94" s="1">
        <f t="shared" si="12"/>
        <v>107.52688172043013</v>
      </c>
      <c r="J94" s="1">
        <f t="shared" si="14"/>
        <v>0.18410876261973513</v>
      </c>
      <c r="K94" s="1">
        <v>5000</v>
      </c>
      <c r="L94" s="3">
        <f t="shared" si="15"/>
        <v>54423.246881720428</v>
      </c>
      <c r="M94" s="9">
        <f t="shared" si="16"/>
        <v>1.3049122795389622E-3</v>
      </c>
      <c r="N94" s="9">
        <f t="shared" si="18"/>
        <v>0.12273917507982342</v>
      </c>
      <c r="O94" s="9"/>
      <c r="P94" s="9"/>
      <c r="Q94" s="9"/>
      <c r="R94" s="9"/>
      <c r="S94" s="17"/>
      <c r="T94" s="10"/>
      <c r="U94" s="10"/>
      <c r="V94" s="10"/>
    </row>
    <row r="95" spans="5:22" x14ac:dyDescent="0.3">
      <c r="E95" s="1">
        <v>3.14</v>
      </c>
      <c r="F95" s="1">
        <v>94</v>
      </c>
      <c r="G95" s="1">
        <f t="shared" si="17"/>
        <v>27745.040000000001</v>
      </c>
      <c r="H95" s="1">
        <f t="shared" si="13"/>
        <v>590.32000000000005</v>
      </c>
      <c r="I95" s="1">
        <f t="shared" si="12"/>
        <v>106.38297872340426</v>
      </c>
      <c r="J95" s="1">
        <f t="shared" si="14"/>
        <v>0.18021239111567328</v>
      </c>
      <c r="K95" s="1">
        <v>5000</v>
      </c>
      <c r="L95" s="3">
        <f t="shared" si="15"/>
        <v>55596.462978723408</v>
      </c>
      <c r="M95" s="9">
        <f t="shared" si="16"/>
        <v>1.2772958698203352E-3</v>
      </c>
      <c r="N95" s="9">
        <f t="shared" si="18"/>
        <v>0.12014159407711551</v>
      </c>
      <c r="O95" s="9"/>
      <c r="P95" s="9"/>
      <c r="Q95" s="9"/>
      <c r="R95" s="9"/>
      <c r="S95" s="17"/>
      <c r="T95" s="10"/>
      <c r="U95" s="10"/>
      <c r="V95" s="10"/>
    </row>
    <row r="96" spans="5:22" x14ac:dyDescent="0.3">
      <c r="E96" s="1">
        <v>3.14</v>
      </c>
      <c r="F96" s="1">
        <v>95</v>
      </c>
      <c r="G96" s="1">
        <f t="shared" si="17"/>
        <v>28338.5</v>
      </c>
      <c r="H96" s="1">
        <f t="shared" si="13"/>
        <v>596.6</v>
      </c>
      <c r="I96" s="1">
        <f t="shared" si="12"/>
        <v>105.26315789473684</v>
      </c>
      <c r="J96" s="1">
        <f t="shared" si="14"/>
        <v>0.17643841417153341</v>
      </c>
      <c r="K96" s="1">
        <v>5000</v>
      </c>
      <c r="L96" s="3">
        <f t="shared" si="15"/>
        <v>56782.26315789474</v>
      </c>
      <c r="M96" s="9">
        <f t="shared" si="16"/>
        <v>1.2505469590839318E-3</v>
      </c>
      <c r="N96" s="9">
        <f t="shared" si="18"/>
        <v>0.11762560944768895</v>
      </c>
      <c r="O96" s="9"/>
      <c r="P96" s="9"/>
      <c r="Q96" s="9"/>
      <c r="R96" s="9"/>
      <c r="S96" s="17"/>
      <c r="T96" s="10"/>
      <c r="U96" s="10"/>
      <c r="V96" s="10"/>
    </row>
    <row r="97" spans="5:22" x14ac:dyDescent="0.3">
      <c r="E97" s="1">
        <v>3.14</v>
      </c>
      <c r="F97" s="1">
        <v>96</v>
      </c>
      <c r="G97" s="1">
        <f t="shared" si="17"/>
        <v>28938.240000000002</v>
      </c>
      <c r="H97" s="1">
        <f t="shared" si="13"/>
        <v>602.88</v>
      </c>
      <c r="I97" s="1">
        <f t="shared" si="12"/>
        <v>104.16666666666667</v>
      </c>
      <c r="J97" s="1">
        <f t="shared" si="14"/>
        <v>0.17278175866949752</v>
      </c>
      <c r="K97" s="1">
        <v>5000</v>
      </c>
      <c r="L97" s="3">
        <f t="shared" si="15"/>
        <v>57980.646666666667</v>
      </c>
      <c r="M97" s="9">
        <f t="shared" si="16"/>
        <v>1.2246295904657643E-3</v>
      </c>
      <c r="N97" s="9">
        <f t="shared" si="18"/>
        <v>0.11518783911299835</v>
      </c>
      <c r="O97" s="9"/>
      <c r="P97" s="9"/>
      <c r="Q97" s="9"/>
      <c r="R97" s="9"/>
      <c r="S97" s="17"/>
      <c r="T97" s="10"/>
      <c r="U97" s="10"/>
      <c r="V97" s="10"/>
    </row>
    <row r="98" spans="5:22" x14ac:dyDescent="0.3">
      <c r="E98" s="1">
        <v>3.14</v>
      </c>
      <c r="F98" s="1">
        <v>97</v>
      </c>
      <c r="G98" s="1">
        <f t="shared" si="17"/>
        <v>29544.260000000002</v>
      </c>
      <c r="H98" s="1">
        <f t="shared" si="13"/>
        <v>609.16</v>
      </c>
      <c r="I98" s="1">
        <f t="shared" si="12"/>
        <v>103.09278350515463</v>
      </c>
      <c r="J98" s="1">
        <f t="shared" si="14"/>
        <v>0.16923761163759052</v>
      </c>
      <c r="K98" s="1">
        <v>5000</v>
      </c>
      <c r="L98" s="3">
        <f t="shared" si="15"/>
        <v>59191.612783505159</v>
      </c>
      <c r="M98" s="9">
        <f t="shared" si="16"/>
        <v>1.1995096509440412E-3</v>
      </c>
      <c r="N98" s="9">
        <f t="shared" si="18"/>
        <v>0.11282507442506035</v>
      </c>
      <c r="O98" s="9"/>
      <c r="P98" s="9"/>
      <c r="Q98" s="9"/>
      <c r="R98" s="9"/>
      <c r="S98" s="17"/>
      <c r="T98" s="10"/>
      <c r="U98" s="10"/>
      <c r="V98" s="10"/>
    </row>
    <row r="99" spans="5:22" x14ac:dyDescent="0.3">
      <c r="E99" s="1">
        <v>3.14</v>
      </c>
      <c r="F99" s="1">
        <v>98</v>
      </c>
      <c r="G99" s="1">
        <f t="shared" si="17"/>
        <v>30156.560000000001</v>
      </c>
      <c r="H99" s="1">
        <f t="shared" si="13"/>
        <v>615.44000000000005</v>
      </c>
      <c r="I99" s="1">
        <f t="shared" si="12"/>
        <v>102.04081632653062</v>
      </c>
      <c r="J99" s="1">
        <f t="shared" si="14"/>
        <v>0.16580140440421587</v>
      </c>
      <c r="K99" s="1">
        <v>5000</v>
      </c>
      <c r="L99" s="3">
        <f t="shared" si="15"/>
        <v>60415.160816326534</v>
      </c>
      <c r="M99" s="9">
        <f t="shared" si="16"/>
        <v>1.175154759030871E-3</v>
      </c>
      <c r="N99" s="9">
        <f t="shared" si="18"/>
        <v>0.11053426960281058</v>
      </c>
      <c r="O99" s="9"/>
      <c r="P99" s="9"/>
      <c r="Q99" s="9"/>
      <c r="R99" s="9"/>
      <c r="S99" s="17"/>
      <c r="T99" s="10"/>
      <c r="U99" s="10"/>
      <c r="V99" s="10"/>
    </row>
    <row r="100" spans="5:22" x14ac:dyDescent="0.3">
      <c r="E100" s="1">
        <v>3.14</v>
      </c>
      <c r="F100" s="1">
        <v>99</v>
      </c>
      <c r="G100" s="1">
        <f t="shared" si="17"/>
        <v>30775.14</v>
      </c>
      <c r="H100" s="1">
        <f t="shared" si="13"/>
        <v>621.72</v>
      </c>
      <c r="I100" s="1">
        <f t="shared" si="12"/>
        <v>101.01010101010101</v>
      </c>
      <c r="J100" s="1">
        <f t="shared" si="14"/>
        <v>0.16246879786736956</v>
      </c>
      <c r="K100" s="1">
        <v>5000</v>
      </c>
      <c r="L100" s="3">
        <f t="shared" si="15"/>
        <v>61651.290101010098</v>
      </c>
      <c r="M100" s="9">
        <f t="shared" si="16"/>
        <v>1.1515341603645019E-3</v>
      </c>
      <c r="N100" s="9">
        <f t="shared" si="18"/>
        <v>0.1083125319115797</v>
      </c>
      <c r="O100" s="9"/>
      <c r="P100" s="9"/>
      <c r="Q100" s="9"/>
      <c r="R100" s="9"/>
      <c r="S100" s="17"/>
      <c r="T100" s="10"/>
      <c r="U100" s="10"/>
      <c r="V100" s="10"/>
    </row>
    <row r="101" spans="5:22" x14ac:dyDescent="0.3">
      <c r="E101" s="1">
        <v>3.14</v>
      </c>
      <c r="F101" s="1">
        <v>100</v>
      </c>
      <c r="G101" s="1">
        <f t="shared" si="17"/>
        <v>31400</v>
      </c>
      <c r="H101" s="1">
        <f t="shared" si="13"/>
        <v>628</v>
      </c>
      <c r="I101" s="1">
        <f t="shared" si="12"/>
        <v>100</v>
      </c>
      <c r="J101" s="1">
        <f t="shared" si="14"/>
        <v>0.15923566878980891</v>
      </c>
      <c r="K101" s="1">
        <v>5000</v>
      </c>
      <c r="L101" s="3">
        <f t="shared" si="15"/>
        <v>62900</v>
      </c>
      <c r="M101" s="9">
        <f t="shared" si="16"/>
        <v>1.1286186305732482E-3</v>
      </c>
      <c r="N101" s="9">
        <f t="shared" si="18"/>
        <v>0.10615711252653927</v>
      </c>
      <c r="O101" s="9"/>
      <c r="P101" s="9"/>
      <c r="Q101" s="9"/>
      <c r="R101" s="9"/>
      <c r="S101" s="17"/>
      <c r="T101" s="10"/>
      <c r="U101" s="10"/>
      <c r="V101" s="10"/>
    </row>
    <row r="102" spans="5:22" x14ac:dyDescent="0.3">
      <c r="E102" s="1">
        <v>3.14</v>
      </c>
      <c r="F102" s="1">
        <v>101</v>
      </c>
      <c r="G102" s="1">
        <f t="shared" si="17"/>
        <v>32031.140000000003</v>
      </c>
      <c r="H102" s="1">
        <f t="shared" si="13"/>
        <v>634.28</v>
      </c>
      <c r="I102" s="1">
        <f t="shared" si="12"/>
        <v>99.009900990098998</v>
      </c>
      <c r="J102" s="1">
        <f t="shared" si="14"/>
        <v>0.1560980970393186</v>
      </c>
      <c r="K102" s="1">
        <v>5000</v>
      </c>
      <c r="L102" s="3">
        <f t="shared" si="15"/>
        <v>64161.289900990108</v>
      </c>
      <c r="M102" s="9">
        <f t="shared" si="16"/>
        <v>1.1063803848380043E-3</v>
      </c>
      <c r="N102" s="9">
        <f t="shared" si="18"/>
        <v>0.1040653980262124</v>
      </c>
      <c r="O102" s="9"/>
      <c r="P102" s="9"/>
      <c r="Q102" s="9"/>
      <c r="R102" s="9"/>
      <c r="S102" s="17"/>
      <c r="T102" s="10"/>
      <c r="U102" s="10"/>
      <c r="V102" s="10"/>
    </row>
    <row r="103" spans="5:22" x14ac:dyDescent="0.3">
      <c r="E103" s="1">
        <v>3.14</v>
      </c>
      <c r="F103" s="1">
        <v>102</v>
      </c>
      <c r="G103" s="1">
        <f t="shared" si="17"/>
        <v>32668.560000000001</v>
      </c>
      <c r="H103" s="1">
        <f t="shared" si="13"/>
        <v>640.56000000000006</v>
      </c>
      <c r="I103" s="1">
        <f t="shared" si="12"/>
        <v>98.039215686274517</v>
      </c>
      <c r="J103" s="1">
        <f t="shared" si="14"/>
        <v>0.15305235370031614</v>
      </c>
      <c r="K103" s="1">
        <v>5000</v>
      </c>
      <c r="L103" s="3">
        <f t="shared" si="15"/>
        <v>65435.159215686275</v>
      </c>
      <c r="M103" s="9">
        <f t="shared" si="16"/>
        <v>1.084792993630573E-3</v>
      </c>
      <c r="N103" s="9">
        <f t="shared" si="18"/>
        <v>0.10203490246687742</v>
      </c>
      <c r="O103" s="9"/>
      <c r="P103" s="9"/>
      <c r="Q103" s="9"/>
      <c r="R103" s="9"/>
      <c r="S103" s="17"/>
      <c r="T103" s="10"/>
      <c r="U103" s="10"/>
      <c r="V103" s="10"/>
    </row>
    <row r="104" spans="5:22" x14ac:dyDescent="0.3">
      <c r="E104" s="1">
        <v>3.14</v>
      </c>
      <c r="F104" s="1">
        <v>103</v>
      </c>
      <c r="G104" s="1">
        <f t="shared" si="17"/>
        <v>33312.26</v>
      </c>
      <c r="H104" s="1">
        <f t="shared" si="13"/>
        <v>646.84</v>
      </c>
      <c r="I104" s="1">
        <f t="shared" si="12"/>
        <v>97.087378640776706</v>
      </c>
      <c r="J104" s="1">
        <f t="shared" si="14"/>
        <v>0.15009488998945134</v>
      </c>
      <c r="K104" s="1">
        <v>5000</v>
      </c>
      <c r="L104" s="3">
        <f t="shared" si="15"/>
        <v>66721.60737864078</v>
      </c>
      <c r="M104" s="9">
        <f t="shared" si="16"/>
        <v>1.063831304150484E-3</v>
      </c>
      <c r="N104" s="9">
        <f t="shared" si="18"/>
        <v>0.10006325999296756</v>
      </c>
      <c r="O104" s="9"/>
      <c r="P104" s="9"/>
      <c r="Q104" s="9"/>
      <c r="R104" s="9"/>
      <c r="S104" s="17"/>
      <c r="T104" s="10"/>
      <c r="U104" s="10"/>
      <c r="V104" s="10"/>
    </row>
    <row r="105" spans="5:22" x14ac:dyDescent="0.3">
      <c r="E105" s="1">
        <v>3.14</v>
      </c>
      <c r="F105" s="1">
        <v>104</v>
      </c>
      <c r="G105" s="1">
        <f t="shared" si="17"/>
        <v>33962.239999999998</v>
      </c>
      <c r="H105" s="1">
        <f t="shared" si="13"/>
        <v>653.12</v>
      </c>
      <c r="I105" s="1">
        <f t="shared" si="12"/>
        <v>96.15384615384616</v>
      </c>
      <c r="J105" s="1">
        <f t="shared" si="14"/>
        <v>0.14722232691365469</v>
      </c>
      <c r="K105" s="1">
        <v>5000</v>
      </c>
      <c r="L105" s="3">
        <f t="shared" si="15"/>
        <v>68020.63384615384</v>
      </c>
      <c r="M105" s="9">
        <f t="shared" si="16"/>
        <v>1.0434713670240832E-3</v>
      </c>
      <c r="N105" s="9">
        <f t="shared" si="18"/>
        <v>9.8148217942436458E-2</v>
      </c>
      <c r="O105" s="9"/>
      <c r="P105" s="9"/>
      <c r="Q105" s="9"/>
      <c r="R105" s="9"/>
      <c r="S105" s="17"/>
      <c r="T105" s="10"/>
      <c r="U105" s="10"/>
      <c r="V105" s="10"/>
    </row>
    <row r="106" spans="5:22" x14ac:dyDescent="0.3">
      <c r="E106" s="1">
        <v>3.14</v>
      </c>
      <c r="F106" s="1">
        <v>105</v>
      </c>
      <c r="G106" s="1">
        <f t="shared" si="17"/>
        <v>34618.5</v>
      </c>
      <c r="H106" s="1">
        <f t="shared" si="13"/>
        <v>659.4</v>
      </c>
      <c r="I106" s="1">
        <f t="shared" si="12"/>
        <v>95.238095238095241</v>
      </c>
      <c r="J106" s="1">
        <f t="shared" si="14"/>
        <v>0.14443144561433915</v>
      </c>
      <c r="K106" s="1">
        <v>5000</v>
      </c>
      <c r="L106" s="3">
        <f t="shared" si="15"/>
        <v>69332.238095238092</v>
      </c>
      <c r="M106" s="9">
        <f t="shared" si="16"/>
        <v>1.023690367866892E-3</v>
      </c>
      <c r="N106" s="9">
        <f t="shared" si="18"/>
        <v>9.6287630409559441E-2</v>
      </c>
      <c r="O106" s="9"/>
      <c r="P106" s="9"/>
      <c r="Q106" s="9"/>
      <c r="R106" s="9"/>
      <c r="S106" s="17"/>
      <c r="T106" s="10"/>
      <c r="U106" s="10"/>
      <c r="V106" s="10"/>
    </row>
    <row r="107" spans="5:22" x14ac:dyDescent="0.3">
      <c r="E107" s="1">
        <v>3.14</v>
      </c>
      <c r="F107" s="1">
        <v>106</v>
      </c>
      <c r="G107" s="1">
        <f t="shared" si="17"/>
        <v>35281.040000000001</v>
      </c>
      <c r="H107" s="1">
        <f t="shared" si="13"/>
        <v>665.68000000000006</v>
      </c>
      <c r="I107" s="1">
        <f t="shared" si="12"/>
        <v>94.33962264150945</v>
      </c>
      <c r="J107" s="1">
        <f t="shared" si="14"/>
        <v>0.14171917834621656</v>
      </c>
      <c r="K107" s="1">
        <v>5000</v>
      </c>
      <c r="L107" s="3">
        <f t="shared" si="15"/>
        <v>70656.419622641508</v>
      </c>
      <c r="M107" s="9">
        <f t="shared" si="16"/>
        <v>1.0044665633439376E-3</v>
      </c>
      <c r="N107" s="9">
        <f t="shared" si="18"/>
        <v>9.4479452230811042E-2</v>
      </c>
      <c r="O107" s="9"/>
      <c r="P107" s="9"/>
      <c r="Q107" s="9"/>
      <c r="R107" s="9"/>
      <c r="S107" s="17"/>
      <c r="T107" s="10"/>
      <c r="U107" s="10"/>
      <c r="V107" s="10"/>
    </row>
    <row r="108" spans="5:22" x14ac:dyDescent="0.3">
      <c r="E108" s="1">
        <v>3.14</v>
      </c>
      <c r="F108" s="1">
        <v>107</v>
      </c>
      <c r="G108" s="1">
        <f t="shared" si="17"/>
        <v>35949.86</v>
      </c>
      <c r="H108" s="1">
        <f t="shared" si="13"/>
        <v>671.96</v>
      </c>
      <c r="I108" s="1">
        <f t="shared" si="12"/>
        <v>93.45794392523365</v>
      </c>
      <c r="J108" s="1">
        <f t="shared" si="14"/>
        <v>0.13908260004350503</v>
      </c>
      <c r="K108" s="1">
        <v>5000</v>
      </c>
      <c r="L108" s="3">
        <f t="shared" si="15"/>
        <v>71993.177943925228</v>
      </c>
      <c r="M108" s="9">
        <f t="shared" si="16"/>
        <v>9.8577922139335178E-4</v>
      </c>
      <c r="N108" s="9">
        <f t="shared" si="18"/>
        <v>9.2721733362336689E-2</v>
      </c>
      <c r="O108" s="9"/>
      <c r="P108" s="9"/>
      <c r="Q108" s="9"/>
      <c r="R108" s="9"/>
      <c r="S108" s="17"/>
      <c r="T108" s="10"/>
      <c r="U108" s="10"/>
      <c r="V108" s="10"/>
    </row>
    <row r="109" spans="5:22" x14ac:dyDescent="0.3">
      <c r="E109" s="1">
        <v>3.14</v>
      </c>
      <c r="F109" s="1">
        <v>108</v>
      </c>
      <c r="G109" s="1">
        <f t="shared" si="17"/>
        <v>36624.959999999999</v>
      </c>
      <c r="H109" s="1">
        <f t="shared" si="13"/>
        <v>678.24</v>
      </c>
      <c r="I109" s="1">
        <f t="shared" si="12"/>
        <v>92.592592592592595</v>
      </c>
      <c r="J109" s="1">
        <f t="shared" si="14"/>
        <v>0.13651892043022026</v>
      </c>
      <c r="K109" s="1">
        <v>5000</v>
      </c>
      <c r="L109" s="3">
        <f t="shared" si="15"/>
        <v>73342.512592592597</v>
      </c>
      <c r="M109" s="9">
        <f t="shared" si="16"/>
        <v>9.6760856530628302E-4</v>
      </c>
      <c r="N109" s="9">
        <f t="shared" si="18"/>
        <v>9.1012613620146843E-2</v>
      </c>
      <c r="O109" s="9"/>
      <c r="P109" s="9"/>
      <c r="Q109" s="9"/>
      <c r="R109" s="9"/>
      <c r="S109" s="17"/>
      <c r="T109" s="10"/>
      <c r="U109" s="10"/>
      <c r="V109" s="10"/>
    </row>
    <row r="110" spans="5:22" x14ac:dyDescent="0.3">
      <c r="E110" s="1">
        <v>3.14</v>
      </c>
      <c r="F110" s="1">
        <v>109</v>
      </c>
      <c r="G110" s="1">
        <f t="shared" si="17"/>
        <v>37306.340000000004</v>
      </c>
      <c r="H110" s="1">
        <f t="shared" si="13"/>
        <v>684.52</v>
      </c>
      <c r="I110" s="1">
        <f t="shared" si="12"/>
        <v>91.743119266055032</v>
      </c>
      <c r="J110" s="1">
        <f t="shared" si="14"/>
        <v>0.13402547663480255</v>
      </c>
      <c r="K110" s="1">
        <v>5000</v>
      </c>
      <c r="L110" s="3">
        <f t="shared" si="15"/>
        <v>74704.423119266066</v>
      </c>
      <c r="M110" s="9">
        <f t="shared" si="16"/>
        <v>9.4993572138140595E-4</v>
      </c>
      <c r="N110" s="9">
        <f t="shared" si="18"/>
        <v>8.9350317756535028E-2</v>
      </c>
      <c r="O110" s="9"/>
      <c r="P110" s="9"/>
      <c r="Q110" s="9"/>
      <c r="R110" s="9"/>
      <c r="S110" s="17"/>
      <c r="T110" s="10"/>
      <c r="U110" s="10"/>
      <c r="V110" s="10"/>
    </row>
    <row r="111" spans="5:22" x14ac:dyDescent="0.3">
      <c r="E111" s="1">
        <v>3.14</v>
      </c>
      <c r="F111" s="1">
        <v>110</v>
      </c>
      <c r="G111" s="1">
        <f t="shared" si="17"/>
        <v>37994</v>
      </c>
      <c r="H111" s="1">
        <f t="shared" si="13"/>
        <v>690.80000000000007</v>
      </c>
      <c r="I111" s="1">
        <f t="shared" si="12"/>
        <v>90.909090909090921</v>
      </c>
      <c r="J111" s="1">
        <f t="shared" si="14"/>
        <v>0.13159972627256936</v>
      </c>
      <c r="K111" s="1">
        <v>5000</v>
      </c>
      <c r="L111" s="3">
        <f t="shared" si="15"/>
        <v>76078.909090909088</v>
      </c>
      <c r="M111" s="9">
        <f t="shared" si="16"/>
        <v>9.3274266989524656E-4</v>
      </c>
      <c r="N111" s="9">
        <f t="shared" si="18"/>
        <v>8.7733150848379571E-2</v>
      </c>
      <c r="O111" s="9"/>
      <c r="P111" s="9"/>
      <c r="Q111" s="9"/>
      <c r="R111" s="9"/>
      <c r="S111" s="17"/>
      <c r="T111" s="10"/>
      <c r="U111" s="10"/>
      <c r="V111" s="10"/>
    </row>
    <row r="112" spans="5:22" x14ac:dyDescent="0.3">
      <c r="E112" s="1">
        <v>3.14</v>
      </c>
      <c r="F112" s="1">
        <v>111</v>
      </c>
      <c r="G112" s="1">
        <f t="shared" si="17"/>
        <v>38687.94</v>
      </c>
      <c r="H112" s="1">
        <f t="shared" si="13"/>
        <v>697.08</v>
      </c>
      <c r="I112" s="1">
        <f t="shared" si="12"/>
        <v>90.090090090090087</v>
      </c>
      <c r="J112" s="1">
        <f t="shared" si="14"/>
        <v>0.12923924096242911</v>
      </c>
      <c r="K112" s="1">
        <v>5000</v>
      </c>
      <c r="L112" s="3">
        <f t="shared" si="15"/>
        <v>77465.970090090093</v>
      </c>
      <c r="M112" s="9">
        <f t="shared" si="16"/>
        <v>9.1601219915043281E-4</v>
      </c>
      <c r="N112" s="9">
        <f t="shared" si="18"/>
        <v>8.6159493974952747E-2</v>
      </c>
      <c r="O112" s="9"/>
      <c r="P112" s="9"/>
      <c r="Q112" s="9"/>
      <c r="R112" s="9"/>
      <c r="S112" s="17"/>
      <c r="T112" s="10"/>
      <c r="U112" s="10"/>
      <c r="V112" s="10"/>
    </row>
    <row r="113" spans="5:22" x14ac:dyDescent="0.3">
      <c r="E113" s="1">
        <v>3.14</v>
      </c>
      <c r="F113" s="1">
        <v>112</v>
      </c>
      <c r="G113" s="1">
        <f t="shared" si="17"/>
        <v>39388.160000000003</v>
      </c>
      <c r="H113" s="1">
        <f t="shared" si="13"/>
        <v>703.36</v>
      </c>
      <c r="I113" s="1">
        <f t="shared" si="12"/>
        <v>89.285714285714278</v>
      </c>
      <c r="J113" s="1">
        <f t="shared" si="14"/>
        <v>0.12694170024697776</v>
      </c>
      <c r="K113" s="1">
        <v>5000</v>
      </c>
      <c r="L113" s="3">
        <f t="shared" si="15"/>
        <v>78865.605714285717</v>
      </c>
      <c r="M113" s="9">
        <f t="shared" si="16"/>
        <v>8.9972786238301039E-4</v>
      </c>
      <c r="N113" s="9">
        <f t="shared" si="18"/>
        <v>8.4627800164651837E-2</v>
      </c>
      <c r="O113" s="9"/>
      <c r="P113" s="9"/>
      <c r="Q113" s="9"/>
      <c r="R113" s="9"/>
      <c r="S113" s="17"/>
      <c r="T113" s="10"/>
      <c r="U113" s="10"/>
      <c r="V113" s="10"/>
    </row>
    <row r="114" spans="5:22" x14ac:dyDescent="0.3">
      <c r="E114" s="1">
        <v>3.14</v>
      </c>
      <c r="F114" s="1">
        <v>113</v>
      </c>
      <c r="G114" s="1">
        <f t="shared" si="17"/>
        <v>40094.660000000003</v>
      </c>
      <c r="H114" s="1">
        <f t="shared" si="13"/>
        <v>709.64</v>
      </c>
      <c r="I114" s="1">
        <f t="shared" si="12"/>
        <v>88.495575221238923</v>
      </c>
      <c r="J114" s="1">
        <f t="shared" si="14"/>
        <v>0.12470488588754711</v>
      </c>
      <c r="K114" s="1">
        <v>5000</v>
      </c>
      <c r="L114" s="3">
        <f t="shared" si="15"/>
        <v>80277.815575221248</v>
      </c>
      <c r="M114" s="9">
        <f t="shared" si="16"/>
        <v>8.838739373273148E-4</v>
      </c>
      <c r="N114" s="9">
        <f t="shared" si="18"/>
        <v>8.3136590591698076E-2</v>
      </c>
      <c r="O114" s="9"/>
      <c r="P114" s="9"/>
      <c r="Q114" s="9"/>
      <c r="R114" s="9"/>
      <c r="S114" s="17"/>
      <c r="T114" s="10"/>
      <c r="U114" s="10"/>
      <c r="V114" s="10"/>
    </row>
    <row r="115" spans="5:22" x14ac:dyDescent="0.3">
      <c r="E115" s="1">
        <v>3.14</v>
      </c>
      <c r="F115" s="1">
        <v>114</v>
      </c>
      <c r="G115" s="1">
        <f t="shared" si="17"/>
        <v>40807.440000000002</v>
      </c>
      <c r="H115" s="1">
        <f t="shared" si="13"/>
        <v>715.92000000000007</v>
      </c>
      <c r="I115" s="1">
        <f t="shared" si="12"/>
        <v>87.719298245614041</v>
      </c>
      <c r="J115" s="1">
        <f t="shared" si="14"/>
        <v>0.12252667650800932</v>
      </c>
      <c r="K115" s="1">
        <v>5000</v>
      </c>
      <c r="L115" s="3">
        <f t="shared" si="15"/>
        <v>81702.599298245623</v>
      </c>
      <c r="M115" s="9">
        <f t="shared" si="16"/>
        <v>8.6843538825273018E-4</v>
      </c>
      <c r="N115" s="9">
        <f t="shared" si="18"/>
        <v>8.168445100533954E-2</v>
      </c>
      <c r="O115" s="9"/>
      <c r="P115" s="9"/>
      <c r="Q115" s="9"/>
      <c r="R115" s="9"/>
      <c r="S115" s="17"/>
      <c r="T115" s="10"/>
      <c r="U115" s="10"/>
      <c r="V115" s="10"/>
    </row>
    <row r="116" spans="5:22" x14ac:dyDescent="0.3">
      <c r="E116" s="1">
        <v>3.14</v>
      </c>
      <c r="F116" s="1">
        <v>115</v>
      </c>
      <c r="G116" s="1">
        <f t="shared" si="17"/>
        <v>41526.5</v>
      </c>
      <c r="H116" s="1">
        <f t="shared" si="13"/>
        <v>722.2</v>
      </c>
      <c r="I116" s="1">
        <f t="shared" si="12"/>
        <v>86.956521739130437</v>
      </c>
      <c r="J116" s="1">
        <f t="shared" si="14"/>
        <v>0.12040504256318255</v>
      </c>
      <c r="K116" s="1">
        <v>5000</v>
      </c>
      <c r="L116" s="3">
        <f t="shared" si="15"/>
        <v>83139.956521739135</v>
      </c>
      <c r="M116" s="9">
        <f t="shared" si="16"/>
        <v>8.5339783030113296E-4</v>
      </c>
      <c r="N116" s="9">
        <f t="shared" si="18"/>
        <v>8.0270028375455035E-2</v>
      </c>
      <c r="O116" s="9"/>
      <c r="P116" s="9"/>
      <c r="Q116" s="9"/>
      <c r="R116" s="9"/>
      <c r="S116" s="17"/>
      <c r="T116" s="10"/>
      <c r="U116" s="10"/>
      <c r="V116" s="10"/>
    </row>
    <row r="117" spans="5:22" x14ac:dyDescent="0.3">
      <c r="E117" s="1">
        <v>3.14</v>
      </c>
      <c r="F117" s="1">
        <v>116</v>
      </c>
      <c r="G117" s="1">
        <f t="shared" si="17"/>
        <v>42251.840000000004</v>
      </c>
      <c r="H117" s="1">
        <f t="shared" si="13"/>
        <v>728.48</v>
      </c>
      <c r="I117" s="1">
        <f t="shared" si="12"/>
        <v>86.206896551724142</v>
      </c>
      <c r="J117" s="1">
        <f t="shared" si="14"/>
        <v>0.11833804160954883</v>
      </c>
      <c r="K117" s="1">
        <v>5000</v>
      </c>
      <c r="L117" s="3">
        <f t="shared" si="15"/>
        <v>84589.886896551732</v>
      </c>
      <c r="M117" s="9">
        <f t="shared" si="16"/>
        <v>8.387474959670395E-4</v>
      </c>
      <c r="N117" s="9">
        <f t="shared" si="18"/>
        <v>7.8892027739699222E-2</v>
      </c>
      <c r="O117" s="9"/>
      <c r="P117" s="9"/>
      <c r="Q117" s="9"/>
      <c r="R117" s="9"/>
      <c r="S117" s="17"/>
      <c r="T117" s="10"/>
      <c r="U117" s="10"/>
      <c r="V117" s="10"/>
    </row>
    <row r="118" spans="5:22" x14ac:dyDescent="0.3">
      <c r="E118" s="1">
        <v>3.14</v>
      </c>
      <c r="F118" s="1">
        <v>117</v>
      </c>
      <c r="G118" s="1">
        <f t="shared" si="17"/>
        <v>42983.46</v>
      </c>
      <c r="H118" s="1">
        <f t="shared" si="13"/>
        <v>734.76</v>
      </c>
      <c r="I118" s="1">
        <f t="shared" si="12"/>
        <v>85.470085470085465</v>
      </c>
      <c r="J118" s="1">
        <f t="shared" si="14"/>
        <v>0.11632381385770248</v>
      </c>
      <c r="K118" s="1">
        <v>5000</v>
      </c>
      <c r="L118" s="3">
        <f t="shared" si="15"/>
        <v>86052.390085470077</v>
      </c>
      <c r="M118" s="9">
        <f t="shared" si="16"/>
        <v>8.2447120357458429E-4</v>
      </c>
      <c r="N118" s="9">
        <f t="shared" si="18"/>
        <v>7.7549209238468322E-2</v>
      </c>
      <c r="O118" s="9"/>
      <c r="P118" s="9"/>
      <c r="Q118" s="9"/>
      <c r="R118" s="9"/>
      <c r="S118" s="17"/>
      <c r="T118" s="10"/>
      <c r="U118" s="10"/>
      <c r="V118" s="10"/>
    </row>
    <row r="119" spans="5:22" x14ac:dyDescent="0.3">
      <c r="E119" s="1">
        <v>3.14</v>
      </c>
      <c r="F119" s="1">
        <v>118</v>
      </c>
      <c r="G119" s="1">
        <f t="shared" si="17"/>
        <v>43721.36</v>
      </c>
      <c r="H119" s="1">
        <f t="shared" si="13"/>
        <v>741.04000000000008</v>
      </c>
      <c r="I119" s="1">
        <f t="shared" si="12"/>
        <v>84.745762711864415</v>
      </c>
      <c r="J119" s="1">
        <f t="shared" si="14"/>
        <v>0.11436057798751</v>
      </c>
      <c r="K119" s="1">
        <v>5000</v>
      </c>
      <c r="L119" s="3">
        <f t="shared" si="15"/>
        <v>87527.465762711872</v>
      </c>
      <c r="M119" s="9">
        <f t="shared" si="16"/>
        <v>8.1055632761652422E-4</v>
      </c>
      <c r="N119" s="9">
        <f t="shared" si="18"/>
        <v>7.6240385325006668E-2</v>
      </c>
      <c r="O119" s="9"/>
      <c r="P119" s="9"/>
      <c r="Q119" s="9"/>
      <c r="R119" s="9"/>
      <c r="S119" s="17"/>
      <c r="T119" s="10"/>
      <c r="U119" s="10"/>
      <c r="V119" s="10"/>
    </row>
    <row r="120" spans="5:22" x14ac:dyDescent="0.3">
      <c r="E120" s="1">
        <v>3.14</v>
      </c>
      <c r="F120" s="1">
        <v>119</v>
      </c>
      <c r="G120" s="1">
        <f t="shared" si="17"/>
        <v>44465.54</v>
      </c>
      <c r="H120" s="1">
        <f t="shared" si="13"/>
        <v>747.32</v>
      </c>
      <c r="I120" s="1">
        <f t="shared" si="12"/>
        <v>84.033613445378151</v>
      </c>
      <c r="J120" s="1">
        <f t="shared" si="14"/>
        <v>0.11244662720839553</v>
      </c>
      <c r="K120" s="1">
        <v>5000</v>
      </c>
      <c r="L120" s="3">
        <f t="shared" si="15"/>
        <v>89015.113613445385</v>
      </c>
      <c r="M120" s="9">
        <f t="shared" si="16"/>
        <v>7.9699077083062527E-4</v>
      </c>
      <c r="N120" s="9">
        <f t="shared" si="18"/>
        <v>7.4964418138930358E-2</v>
      </c>
      <c r="O120" s="9"/>
      <c r="P120" s="9"/>
      <c r="Q120" s="9"/>
      <c r="R120" s="9"/>
      <c r="S120" s="17"/>
      <c r="T120" s="10"/>
      <c r="U120" s="10"/>
      <c r="V120" s="10"/>
    </row>
    <row r="121" spans="5:22" x14ac:dyDescent="0.3">
      <c r="E121" s="1">
        <v>3.14</v>
      </c>
      <c r="F121" s="1">
        <v>120</v>
      </c>
      <c r="G121" s="1">
        <f t="shared" si="17"/>
        <v>45216</v>
      </c>
      <c r="H121" s="1">
        <f t="shared" si="13"/>
        <v>753.6</v>
      </c>
      <c r="I121" s="1">
        <f t="shared" si="12"/>
        <v>83.333333333333329</v>
      </c>
      <c r="J121" s="1">
        <f t="shared" si="14"/>
        <v>0.11058032554847841</v>
      </c>
      <c r="K121" s="1">
        <v>5000</v>
      </c>
      <c r="L121" s="3">
        <f t="shared" si="15"/>
        <v>90515.333333333328</v>
      </c>
      <c r="M121" s="9">
        <f t="shared" si="16"/>
        <v>7.8376293789808918E-4</v>
      </c>
      <c r="N121" s="9">
        <f t="shared" si="18"/>
        <v>7.3720217032318944E-2</v>
      </c>
      <c r="O121" s="9"/>
      <c r="P121" s="9"/>
      <c r="Q121" s="9"/>
      <c r="R121" s="9"/>
      <c r="S121" s="17"/>
      <c r="T121" s="10"/>
      <c r="U121" s="10"/>
      <c r="V121" s="10"/>
    </row>
    <row r="122" spans="5:22" x14ac:dyDescent="0.3">
      <c r="E122" s="1">
        <v>3.14</v>
      </c>
      <c r="F122" s="1">
        <v>121</v>
      </c>
      <c r="G122" s="1">
        <f t="shared" si="17"/>
        <v>45972.740000000005</v>
      </c>
      <c r="H122" s="1">
        <f t="shared" si="13"/>
        <v>759.88</v>
      </c>
      <c r="I122" s="1">
        <f t="shared" si="12"/>
        <v>82.644628099173545</v>
      </c>
      <c r="J122" s="1">
        <f t="shared" si="14"/>
        <v>0.10876010435749532</v>
      </c>
      <c r="K122" s="1">
        <v>5000</v>
      </c>
      <c r="L122" s="3">
        <f t="shared" si="15"/>
        <v>92028.124628099191</v>
      </c>
      <c r="M122" s="9">
        <f t="shared" si="16"/>
        <v>7.7086171065722856E-4</v>
      </c>
      <c r="N122" s="9">
        <f t="shared" si="18"/>
        <v>7.2506736238330219E-2</v>
      </c>
      <c r="O122" s="9"/>
      <c r="P122" s="9"/>
      <c r="Q122" s="9"/>
      <c r="R122" s="9"/>
      <c r="S122" s="17"/>
      <c r="T122" s="10"/>
      <c r="U122" s="10"/>
      <c r="V122" s="10"/>
    </row>
    <row r="123" spans="5:22" x14ac:dyDescent="0.3">
      <c r="E123" s="1">
        <v>3.14</v>
      </c>
      <c r="F123" s="1">
        <v>122</v>
      </c>
      <c r="G123" s="1">
        <f t="shared" si="17"/>
        <v>46735.76</v>
      </c>
      <c r="H123" s="1">
        <f t="shared" si="13"/>
        <v>766.16000000000008</v>
      </c>
      <c r="I123" s="1">
        <f t="shared" si="12"/>
        <v>81.967213114754102</v>
      </c>
      <c r="J123" s="1">
        <f t="shared" si="14"/>
        <v>0.10698445900954644</v>
      </c>
      <c r="K123" s="1">
        <v>5000</v>
      </c>
      <c r="L123" s="3">
        <f t="shared" si="15"/>
        <v>93553.487213114757</v>
      </c>
      <c r="M123" s="9">
        <f t="shared" si="16"/>
        <v>7.5827642473343755E-4</v>
      </c>
      <c r="N123" s="9">
        <f t="shared" si="18"/>
        <v>7.1322972673030963E-2</v>
      </c>
      <c r="O123" s="9"/>
      <c r="P123" s="9"/>
      <c r="Q123" s="9"/>
      <c r="R123" s="9"/>
      <c r="S123" s="17"/>
      <c r="T123" s="10"/>
      <c r="U123" s="10"/>
      <c r="V123" s="10"/>
    </row>
    <row r="124" spans="5:22" x14ac:dyDescent="0.3">
      <c r="E124" s="1">
        <v>3.14</v>
      </c>
      <c r="F124" s="1">
        <v>123</v>
      </c>
      <c r="G124" s="1">
        <f t="shared" si="17"/>
        <v>47505.060000000005</v>
      </c>
      <c r="H124" s="1">
        <f t="shared" si="13"/>
        <v>772.44</v>
      </c>
      <c r="I124" s="1">
        <f t="shared" si="12"/>
        <v>81.300813008130078</v>
      </c>
      <c r="J124" s="1">
        <f t="shared" si="14"/>
        <v>0.10525194579272186</v>
      </c>
      <c r="K124" s="1">
        <v>5000</v>
      </c>
      <c r="L124" s="3">
        <f t="shared" si="15"/>
        <v>95091.420813008139</v>
      </c>
      <c r="M124" s="9">
        <f t="shared" si="16"/>
        <v>7.4599684749371948E-4</v>
      </c>
      <c r="N124" s="9">
        <f t="shared" si="18"/>
        <v>7.0167963861814578E-2</v>
      </c>
      <c r="O124" s="9"/>
      <c r="P124" s="9"/>
      <c r="Q124" s="9"/>
      <c r="R124" s="9"/>
      <c r="S124" s="17"/>
      <c r="T124" s="10"/>
      <c r="U124" s="10"/>
      <c r="V124" s="10"/>
    </row>
    <row r="125" spans="5:22" x14ac:dyDescent="0.3">
      <c r="E125" s="1">
        <v>3.14</v>
      </c>
      <c r="F125" s="1">
        <v>124</v>
      </c>
      <c r="G125" s="1">
        <f t="shared" si="17"/>
        <v>48280.639999999999</v>
      </c>
      <c r="H125" s="1">
        <f t="shared" si="13"/>
        <v>778.72</v>
      </c>
      <c r="I125" s="1">
        <f t="shared" si="12"/>
        <v>80.645161290322577</v>
      </c>
      <c r="J125" s="1">
        <f t="shared" si="14"/>
        <v>0.10356117897360101</v>
      </c>
      <c r="K125" s="1">
        <v>5000</v>
      </c>
      <c r="L125" s="3">
        <f t="shared" si="15"/>
        <v>96641.925161290317</v>
      </c>
      <c r="M125" s="9">
        <f t="shared" si="16"/>
        <v>7.3401315724066639E-4</v>
      </c>
      <c r="N125" s="9">
        <f t="shared" si="18"/>
        <v>6.9040785982400668E-2</v>
      </c>
      <c r="O125" s="9"/>
      <c r="P125" s="9"/>
      <c r="Q125" s="9"/>
      <c r="R125" s="9"/>
      <c r="S125" s="17"/>
      <c r="T125" s="10"/>
      <c r="U125" s="10"/>
      <c r="V125" s="10"/>
    </row>
    <row r="126" spans="5:22" x14ac:dyDescent="0.3">
      <c r="E126" s="1">
        <v>3.14</v>
      </c>
      <c r="F126" s="1">
        <v>125</v>
      </c>
      <c r="G126" s="1">
        <f t="shared" si="17"/>
        <v>49062.5</v>
      </c>
      <c r="H126" s="1">
        <f t="shared" si="13"/>
        <v>785</v>
      </c>
      <c r="I126" s="1">
        <f t="shared" si="12"/>
        <v>80</v>
      </c>
      <c r="J126" s="1">
        <f t="shared" si="14"/>
        <v>0.10191082802547771</v>
      </c>
      <c r="K126" s="1">
        <v>5000</v>
      </c>
      <c r="L126" s="3">
        <f t="shared" si="15"/>
        <v>98205</v>
      </c>
      <c r="M126" s="9">
        <f t="shared" si="16"/>
        <v>7.2231592356687907E-4</v>
      </c>
      <c r="N126" s="9">
        <f t="shared" si="18"/>
        <v>6.7940552016985137E-2</v>
      </c>
      <c r="O126" s="9"/>
      <c r="P126" s="9"/>
      <c r="Q126" s="9"/>
      <c r="R126" s="9"/>
      <c r="S126" s="17"/>
      <c r="T126" s="10"/>
      <c r="U126" s="10"/>
      <c r="V126" s="10"/>
    </row>
    <row r="127" spans="5:22" x14ac:dyDescent="0.3">
      <c r="E127" s="1">
        <v>3.14</v>
      </c>
      <c r="F127" s="1">
        <v>126</v>
      </c>
      <c r="G127" s="1">
        <f t="shared" si="17"/>
        <v>49850.64</v>
      </c>
      <c r="H127" s="1">
        <f t="shared" si="13"/>
        <v>791.28000000000009</v>
      </c>
      <c r="I127" s="1">
        <f t="shared" si="12"/>
        <v>79.365079365079382</v>
      </c>
      <c r="J127" s="1">
        <f t="shared" si="14"/>
        <v>0.10029961500995775</v>
      </c>
      <c r="K127" s="1">
        <v>5000</v>
      </c>
      <c r="L127" s="3">
        <f t="shared" si="15"/>
        <v>99780.645079365073</v>
      </c>
      <c r="M127" s="9">
        <f t="shared" si="16"/>
        <v>7.1089608879645275E-4</v>
      </c>
      <c r="N127" s="9">
        <f t="shared" si="18"/>
        <v>6.6866410006638496E-2</v>
      </c>
      <c r="O127" s="9"/>
      <c r="P127" s="9"/>
      <c r="Q127" s="9"/>
      <c r="R127" s="9"/>
      <c r="S127" s="17"/>
      <c r="T127" s="10"/>
      <c r="U127" s="10"/>
      <c r="V127" s="10"/>
    </row>
    <row r="128" spans="5:22" x14ac:dyDescent="0.3">
      <c r="E128" s="1">
        <v>3.14</v>
      </c>
      <c r="F128" s="1">
        <v>127</v>
      </c>
      <c r="G128" s="1">
        <f t="shared" si="17"/>
        <v>50645.060000000005</v>
      </c>
      <c r="H128" s="1">
        <f t="shared" si="13"/>
        <v>797.56000000000006</v>
      </c>
      <c r="I128" s="1">
        <f t="shared" si="12"/>
        <v>78.740157480314963</v>
      </c>
      <c r="J128" s="1">
        <f t="shared" si="14"/>
        <v>9.872631210230573E-2</v>
      </c>
      <c r="K128" s="1">
        <v>5000</v>
      </c>
      <c r="L128" s="3">
        <f t="shared" si="15"/>
        <v>101368.86015748032</v>
      </c>
      <c r="M128" s="9">
        <f t="shared" si="16"/>
        <v>6.9974495044531487E-4</v>
      </c>
      <c r="N128" s="9">
        <f t="shared" si="18"/>
        <v>6.5817541401537158E-2</v>
      </c>
      <c r="O128" s="9"/>
      <c r="P128" s="9"/>
      <c r="Q128" s="9"/>
      <c r="R128" s="9"/>
      <c r="S128" s="17"/>
      <c r="T128" s="10"/>
      <c r="U128" s="10"/>
      <c r="V128" s="10"/>
    </row>
    <row r="129" spans="5:22" x14ac:dyDescent="0.3">
      <c r="E129" s="1">
        <v>3.14</v>
      </c>
      <c r="F129" s="1">
        <v>128</v>
      </c>
      <c r="G129" s="1">
        <f t="shared" si="17"/>
        <v>51445.760000000002</v>
      </c>
      <c r="H129" s="1">
        <f t="shared" si="13"/>
        <v>803.84</v>
      </c>
      <c r="I129" s="1">
        <f t="shared" si="12"/>
        <v>78.125</v>
      </c>
      <c r="J129" s="1">
        <f t="shared" si="14"/>
        <v>9.7189739251592355E-2</v>
      </c>
      <c r="K129" s="1">
        <v>5000</v>
      </c>
      <c r="L129" s="3">
        <f t="shared" si="15"/>
        <v>102969.645</v>
      </c>
      <c r="M129" s="9">
        <f t="shared" si="16"/>
        <v>6.888541446369923E-4</v>
      </c>
      <c r="N129" s="9">
        <f t="shared" si="18"/>
        <v>6.479315950106157E-2</v>
      </c>
      <c r="O129" s="9"/>
      <c r="P129" s="9"/>
      <c r="Q129" s="9"/>
      <c r="R129" s="9"/>
      <c r="S129" s="17"/>
      <c r="T129" s="10"/>
      <c r="U129" s="10"/>
      <c r="V129" s="10"/>
    </row>
    <row r="130" spans="5:22" x14ac:dyDescent="0.3">
      <c r="E130" s="1">
        <v>3.14</v>
      </c>
      <c r="F130" s="1">
        <v>129</v>
      </c>
      <c r="G130" s="1">
        <f t="shared" si="17"/>
        <v>52252.740000000005</v>
      </c>
      <c r="H130" s="1">
        <f t="shared" si="13"/>
        <v>810.12</v>
      </c>
      <c r="I130" s="1">
        <f t="shared" ref="I130:I138" si="19">H130*J130</f>
        <v>77.519379844961236</v>
      </c>
      <c r="J130" s="1">
        <f t="shared" si="14"/>
        <v>9.5688761967315003E-2</v>
      </c>
      <c r="K130" s="1">
        <v>5000</v>
      </c>
      <c r="L130" s="3">
        <f t="shared" si="15"/>
        <v>104582.99937984497</v>
      </c>
      <c r="M130" s="9">
        <f t="shared" si="16"/>
        <v>6.7821563041478778E-4</v>
      </c>
      <c r="N130" s="9">
        <f t="shared" si="18"/>
        <v>6.3792507978209997E-2</v>
      </c>
      <c r="O130" s="9"/>
      <c r="P130" s="9"/>
      <c r="Q130" s="9"/>
      <c r="R130" s="9"/>
      <c r="S130" s="17"/>
      <c r="T130" s="10"/>
      <c r="U130" s="10"/>
      <c r="V130" s="10"/>
    </row>
    <row r="131" spans="5:22" x14ac:dyDescent="0.3">
      <c r="E131" s="1">
        <v>3.14</v>
      </c>
      <c r="F131" s="1">
        <v>130</v>
      </c>
      <c r="G131" s="1">
        <f t="shared" si="17"/>
        <v>53066</v>
      </c>
      <c r="H131" s="1">
        <f t="shared" ref="H131:H138" si="20">2*E131*F131</f>
        <v>816.4</v>
      </c>
      <c r="I131" s="1">
        <f t="shared" si="19"/>
        <v>76.92307692307692</v>
      </c>
      <c r="J131" s="1">
        <f t="shared" ref="J131:J138" si="21">K131/G131</f>
        <v>9.4222289224739006E-2</v>
      </c>
      <c r="K131" s="1">
        <v>5000</v>
      </c>
      <c r="L131" s="3">
        <f t="shared" ref="L131:L138" si="22">(G131*2)+I131</f>
        <v>106208.92307692308</v>
      </c>
      <c r="M131" s="9">
        <f t="shared" ref="M131:M138" si="23">$C$8*J131*0.85*9.81*10^-6</f>
        <v>6.6782167489541308E-4</v>
      </c>
      <c r="N131" s="9">
        <f t="shared" si="18"/>
        <v>6.2814859483159333E-2</v>
      </c>
      <c r="O131" s="9"/>
      <c r="P131" s="9"/>
      <c r="Q131" s="9"/>
      <c r="R131" s="9"/>
      <c r="S131" s="17"/>
      <c r="T131" s="10"/>
      <c r="U131" s="10"/>
      <c r="V131" s="10"/>
    </row>
    <row r="132" spans="5:22" x14ac:dyDescent="0.3">
      <c r="E132" s="1">
        <v>3.14</v>
      </c>
      <c r="F132" s="1">
        <v>131</v>
      </c>
      <c r="G132" s="1">
        <f t="shared" ref="G132:G138" si="24">E132*F132^2</f>
        <v>53885.54</v>
      </c>
      <c r="H132" s="1">
        <f t="shared" si="20"/>
        <v>822.68000000000006</v>
      </c>
      <c r="I132" s="1">
        <f t="shared" si="19"/>
        <v>76.335877862595424</v>
      </c>
      <c r="J132" s="1">
        <f t="shared" si="21"/>
        <v>9.2789271481737032E-2</v>
      </c>
      <c r="K132" s="1">
        <v>5000</v>
      </c>
      <c r="L132" s="3">
        <f t="shared" si="22"/>
        <v>107847.4158778626</v>
      </c>
      <c r="M132" s="9">
        <f t="shared" si="23"/>
        <v>6.5766483921289468E-4</v>
      </c>
      <c r="N132" s="9">
        <f t="shared" si="18"/>
        <v>6.1859514321158021E-2</v>
      </c>
      <c r="O132" s="9"/>
      <c r="P132" s="9"/>
      <c r="Q132" s="9"/>
      <c r="R132" s="9"/>
      <c r="S132" s="17"/>
      <c r="T132" s="10"/>
      <c r="U132" s="10"/>
      <c r="V132" s="10"/>
    </row>
    <row r="133" spans="5:22" x14ac:dyDescent="0.3">
      <c r="E133" s="1">
        <v>3.14</v>
      </c>
      <c r="F133" s="1">
        <v>132</v>
      </c>
      <c r="G133" s="1">
        <f t="shared" si="24"/>
        <v>54711.360000000001</v>
      </c>
      <c r="H133" s="1">
        <f t="shared" si="20"/>
        <v>828.96</v>
      </c>
      <c r="I133" s="1">
        <f t="shared" si="19"/>
        <v>75.757575757575751</v>
      </c>
      <c r="J133" s="1">
        <f t="shared" si="21"/>
        <v>9.1388698800395379E-2</v>
      </c>
      <c r="K133" s="1">
        <v>5000</v>
      </c>
      <c r="L133" s="3">
        <f t="shared" si="22"/>
        <v>109498.47757575757</v>
      </c>
      <c r="M133" s="9">
        <f t="shared" si="23"/>
        <v>6.4773796520503244E-4</v>
      </c>
      <c r="N133" s="9">
        <f t="shared" ref="N133:N138" si="25">J133/1.5</f>
        <v>6.0925799200263586E-2</v>
      </c>
      <c r="O133" s="9"/>
      <c r="P133" s="9"/>
      <c r="Q133" s="9"/>
      <c r="R133" s="9"/>
      <c r="S133" s="17"/>
      <c r="T133" s="10"/>
      <c r="U133" s="10"/>
      <c r="V133" s="10"/>
    </row>
    <row r="134" spans="5:22" x14ac:dyDescent="0.3">
      <c r="E134" s="1">
        <v>3.14</v>
      </c>
      <c r="F134" s="1">
        <v>133</v>
      </c>
      <c r="G134" s="1">
        <f t="shared" si="24"/>
        <v>55543.46</v>
      </c>
      <c r="H134" s="1">
        <f t="shared" si="20"/>
        <v>835.24</v>
      </c>
      <c r="I134" s="1">
        <f t="shared" si="19"/>
        <v>75.187969924812037</v>
      </c>
      <c r="J134" s="1">
        <f t="shared" si="21"/>
        <v>9.0019599067108894E-2</v>
      </c>
      <c r="K134" s="1">
        <v>5000</v>
      </c>
      <c r="L134" s="3">
        <f t="shared" si="22"/>
        <v>111162.10796992481</v>
      </c>
      <c r="M134" s="9">
        <f t="shared" si="23"/>
        <v>6.3803416279792434E-4</v>
      </c>
      <c r="N134" s="9">
        <f t="shared" si="25"/>
        <v>6.0013066044739265E-2</v>
      </c>
      <c r="O134" s="9"/>
      <c r="P134" s="9"/>
      <c r="Q134" s="9"/>
      <c r="R134" s="9"/>
      <c r="S134" s="17"/>
      <c r="T134" s="10"/>
      <c r="U134" s="10"/>
      <c r="V134" s="10"/>
    </row>
    <row r="135" spans="5:22" x14ac:dyDescent="0.3">
      <c r="E135" s="1">
        <v>3.14</v>
      </c>
      <c r="F135" s="1">
        <v>134</v>
      </c>
      <c r="G135" s="1">
        <f t="shared" si="24"/>
        <v>56381.840000000004</v>
      </c>
      <c r="H135" s="1">
        <f t="shared" si="20"/>
        <v>841.52</v>
      </c>
      <c r="I135" s="1">
        <f t="shared" si="19"/>
        <v>74.626865671641781</v>
      </c>
      <c r="J135" s="1">
        <f t="shared" si="21"/>
        <v>8.8681036305306812E-2</v>
      </c>
      <c r="K135" s="1">
        <v>5000</v>
      </c>
      <c r="L135" s="3">
        <f t="shared" si="22"/>
        <v>112838.30686567165</v>
      </c>
      <c r="M135" s="9">
        <f t="shared" si="23"/>
        <v>6.285467980470307E-4</v>
      </c>
      <c r="N135" s="9">
        <f t="shared" si="25"/>
        <v>5.9120690870204544E-2</v>
      </c>
      <c r="O135" s="9"/>
      <c r="P135" s="9"/>
      <c r="Q135" s="9"/>
      <c r="R135" s="9"/>
      <c r="S135" s="17"/>
      <c r="T135" s="10"/>
      <c r="U135" s="10"/>
      <c r="V135" s="10"/>
    </row>
    <row r="136" spans="5:22" x14ac:dyDescent="0.3">
      <c r="E136" s="1">
        <v>3.14</v>
      </c>
      <c r="F136" s="1">
        <v>135</v>
      </c>
      <c r="G136" s="1">
        <f t="shared" si="24"/>
        <v>57226.5</v>
      </c>
      <c r="H136" s="1">
        <f t="shared" si="20"/>
        <v>847.80000000000007</v>
      </c>
      <c r="I136" s="1">
        <f t="shared" si="19"/>
        <v>74.074074074074076</v>
      </c>
      <c r="J136" s="1">
        <f t="shared" si="21"/>
        <v>8.7372109075340973E-2</v>
      </c>
      <c r="K136" s="1">
        <v>5000</v>
      </c>
      <c r="L136" s="3">
        <f t="shared" si="22"/>
        <v>114527.07407407407</v>
      </c>
      <c r="M136" s="9">
        <f t="shared" si="23"/>
        <v>6.1926948179602103E-4</v>
      </c>
      <c r="N136" s="9">
        <f t="shared" si="25"/>
        <v>5.824807271689398E-2</v>
      </c>
      <c r="O136" s="9"/>
      <c r="P136" s="9"/>
      <c r="Q136" s="9"/>
      <c r="R136" s="9"/>
      <c r="S136" s="17"/>
      <c r="T136" s="10"/>
      <c r="U136" s="10"/>
      <c r="V136" s="10"/>
    </row>
    <row r="137" spans="5:22" x14ac:dyDescent="0.3">
      <c r="E137" s="1">
        <v>3.14</v>
      </c>
      <c r="F137" s="1">
        <v>136</v>
      </c>
      <c r="G137" s="1">
        <f t="shared" si="24"/>
        <v>58077.440000000002</v>
      </c>
      <c r="H137" s="1">
        <f t="shared" si="20"/>
        <v>854.08</v>
      </c>
      <c r="I137" s="1">
        <f t="shared" si="19"/>
        <v>73.529411764705884</v>
      </c>
      <c r="J137" s="1">
        <f t="shared" si="21"/>
        <v>8.6091948956427827E-2</v>
      </c>
      <c r="K137" s="1">
        <v>5000</v>
      </c>
      <c r="L137" s="3">
        <f t="shared" si="22"/>
        <v>116228.4094117647</v>
      </c>
      <c r="M137" s="9">
        <f t="shared" si="23"/>
        <v>6.1019605891719743E-4</v>
      </c>
      <c r="N137" s="9">
        <f t="shared" si="25"/>
        <v>5.7394632637618549E-2</v>
      </c>
      <c r="O137" s="9"/>
      <c r="P137" s="9"/>
      <c r="Q137" s="9"/>
      <c r="R137" s="9"/>
      <c r="S137" s="17"/>
      <c r="T137" s="10"/>
      <c r="U137" s="10"/>
      <c r="V137" s="10"/>
    </row>
    <row r="138" spans="5:22" x14ac:dyDescent="0.3">
      <c r="E138" s="1">
        <v>3.14</v>
      </c>
      <c r="F138" s="1">
        <v>137</v>
      </c>
      <c r="G138" s="1">
        <f t="shared" si="24"/>
        <v>58934.66</v>
      </c>
      <c r="H138" s="1">
        <f t="shared" si="20"/>
        <v>860.36</v>
      </c>
      <c r="I138" s="1">
        <f t="shared" si="19"/>
        <v>72.992700729927009</v>
      </c>
      <c r="J138" s="1">
        <f t="shared" si="21"/>
        <v>8.4839719105870806E-2</v>
      </c>
      <c r="K138" s="1">
        <v>5000</v>
      </c>
      <c r="L138" s="3">
        <f t="shared" si="22"/>
        <v>117942.31270072993</v>
      </c>
      <c r="M138" s="9">
        <f t="shared" si="23"/>
        <v>6.0132059809965815E-4</v>
      </c>
      <c r="N138" s="9">
        <f t="shared" si="25"/>
        <v>5.6559812737247202E-2</v>
      </c>
      <c r="O138" s="9"/>
      <c r="P138" s="9"/>
      <c r="Q138" s="9"/>
      <c r="R138" s="9"/>
      <c r="S138" s="17"/>
      <c r="T138" s="10"/>
      <c r="U138" s="10"/>
      <c r="V138" s="10"/>
    </row>
  </sheetData>
  <conditionalFormatting sqref="M1:V1 L1:L138">
    <cfRule type="expression" priority="1">
      <formula>MIN(L:L)</formula>
    </cfRule>
    <cfRule type="expression" priority="2">
      <formula>"min"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B1:U138"/>
  <sheetViews>
    <sheetView workbookViewId="0">
      <selection activeCell="O3" sqref="O3"/>
    </sheetView>
  </sheetViews>
  <sheetFormatPr defaultRowHeight="14.4" x14ac:dyDescent="0.3"/>
  <cols>
    <col min="2" max="2" width="40.5546875" bestFit="1" customWidth="1"/>
    <col min="3" max="3" width="40.6640625" bestFit="1" customWidth="1"/>
    <col min="7" max="7" width="9.6640625" customWidth="1"/>
    <col min="8" max="8" width="12.33203125" customWidth="1"/>
    <col min="9" max="9" width="10.44140625" customWidth="1"/>
    <col min="12" max="12" width="12" bestFit="1" customWidth="1"/>
    <col min="13" max="13" width="15.5546875" bestFit="1" customWidth="1"/>
    <col min="14" max="14" width="18" customWidth="1"/>
    <col min="15" max="15" width="24.44140625" customWidth="1"/>
    <col min="16" max="16" width="42.109375" bestFit="1" customWidth="1"/>
    <col min="17" max="19" width="24.44140625" customWidth="1"/>
  </cols>
  <sheetData>
    <row r="1" spans="2:21" ht="30.6" customHeight="1" x14ac:dyDescent="0.3">
      <c r="E1" s="5" t="s">
        <v>8</v>
      </c>
      <c r="F1" s="5" t="s">
        <v>9</v>
      </c>
      <c r="G1" s="5" t="s">
        <v>10</v>
      </c>
      <c r="H1" s="5" t="s">
        <v>2</v>
      </c>
      <c r="I1" s="5" t="s">
        <v>11</v>
      </c>
      <c r="J1" s="5" t="s">
        <v>12</v>
      </c>
      <c r="K1" s="5" t="s">
        <v>13</v>
      </c>
      <c r="L1" s="5" t="s">
        <v>32</v>
      </c>
      <c r="M1" s="5" t="s">
        <v>30</v>
      </c>
      <c r="N1" s="6" t="s">
        <v>23</v>
      </c>
      <c r="O1" s="11" t="s">
        <v>29</v>
      </c>
      <c r="P1" s="11" t="s">
        <v>39</v>
      </c>
      <c r="Q1" s="12" t="s">
        <v>31</v>
      </c>
      <c r="R1" s="12" t="s">
        <v>27</v>
      </c>
      <c r="S1" s="12" t="s">
        <v>25</v>
      </c>
    </row>
    <row r="2" spans="2:21" x14ac:dyDescent="0.3">
      <c r="B2" s="1" t="s">
        <v>0</v>
      </c>
      <c r="C2" s="1" t="s">
        <v>1</v>
      </c>
      <c r="D2" s="1"/>
      <c r="E2" s="1">
        <v>3.14</v>
      </c>
      <c r="F2" s="1">
        <v>1</v>
      </c>
      <c r="G2" s="1">
        <f>E2*F2^2</f>
        <v>3.14</v>
      </c>
      <c r="H2" s="1">
        <f>2*E2*F2</f>
        <v>6.28</v>
      </c>
      <c r="I2" s="1">
        <f>H2*J2</f>
        <v>10000</v>
      </c>
      <c r="J2" s="1">
        <f>K2/G2</f>
        <v>1592.3566878980891</v>
      </c>
      <c r="K2" s="1">
        <f>$C$18</f>
        <v>5000</v>
      </c>
      <c r="L2" s="1">
        <f>2*PI()*P2</f>
        <v>117.44417543783558</v>
      </c>
      <c r="M2" s="3">
        <f>(G2*2*Q2)+L2</f>
        <v>117.73904564408558</v>
      </c>
      <c r="N2" s="9">
        <f>0.1+$C$8*J2*0.85*9.81/(10^6)</f>
        <v>11.386186305732483</v>
      </c>
      <c r="O2" s="17">
        <f>IF((1.05*$C$8*9.81*J2)*F2/(0.7*((10^6)/(1.025*1.15)))/(10^3)&gt;=0.004, (1.05*$C$8*9.81*J2)*F2/(0.7*((10^6)/(1.025*1.15)))/(10^3), 0.004)</f>
        <v>2.3476927249203822E-2</v>
      </c>
      <c r="P2" s="17">
        <f>IF((1.05*$C$8*9.81*J2)*F2/(0.7*((10^6)/(1.025*1.15))*10^3)&gt;=0.004, (1.05*$C$8*9.81*J2^2)*F2/(0.7*((10^6)/(1.025*1.15))*2*10^3), 0.004)</f>
        <v>18.691821058283296</v>
      </c>
      <c r="Q2" s="17">
        <f>2*O2</f>
        <v>4.6953854498407645E-2</v>
      </c>
      <c r="R2" s="10">
        <f>M2*$C$17*10^(-3)</f>
        <v>930.13846058827608</v>
      </c>
      <c r="S2" s="19">
        <f>R2*53000</f>
        <v>49297338.411178634</v>
      </c>
    </row>
    <row r="3" spans="2:21" x14ac:dyDescent="0.3">
      <c r="B3" s="1" t="s">
        <v>2</v>
      </c>
      <c r="C3" s="1" t="s">
        <v>3</v>
      </c>
      <c r="D3" s="1"/>
      <c r="E3" s="1">
        <v>3.14</v>
      </c>
      <c r="F3" s="1">
        <v>2</v>
      </c>
      <c r="G3" s="1">
        <f t="shared" ref="G3:G7" si="0">E3*F3^2</f>
        <v>12.56</v>
      </c>
      <c r="H3" s="1">
        <f t="shared" ref="H3:H7" si="1">2*E3*F3</f>
        <v>12.56</v>
      </c>
      <c r="I3" s="1">
        <f t="shared" ref="I3:I66" si="2">H3*J3</f>
        <v>5000</v>
      </c>
      <c r="J3" s="1">
        <f t="shared" ref="J3:J7" si="3">K3/G3</f>
        <v>398.08917197452229</v>
      </c>
      <c r="K3" s="1">
        <f t="shared" ref="K3:K66" si="4">$C$18</f>
        <v>5000</v>
      </c>
      <c r="L3" s="1">
        <f t="shared" ref="L3:L7" si="5">2*PI()*P3</f>
        <v>14.680521929729448</v>
      </c>
      <c r="M3" s="3">
        <f t="shared" ref="M3:M7" si="6">(G3*2*Q3)+L3</f>
        <v>15.270262342229447</v>
      </c>
      <c r="N3" s="9">
        <f t="shared" ref="N3:N7" si="7">0.1+$C$8*J3*0.85*9.81/(10^6)</f>
        <v>2.921546576433121</v>
      </c>
      <c r="O3" s="17">
        <f>IF((1.05*$C$8*9.81*J3)*F3/(0.7*((10^6)/(1.025*1.15)))/(10^3)&gt;=0.004, (1.05*$C$8*9.81*J3)*F3/(0.7*((10^6)/(1.025*1.15)))/(10^3), 0.004)</f>
        <v>1.1738463624601911E-2</v>
      </c>
      <c r="P3" s="17">
        <f t="shared" ref="P3:P7" si="8">IF((1.05*$C$8*9.81*J3)*F3/(0.7*((10^6)/(1.025*1.15))*10^3)&gt;=0.004, (1.05*$C$8*9.81*J3^2)*F3/(0.7*((10^6)/(1.025*1.15))*2*10^3), 0.004)</f>
        <v>2.3364776322854119</v>
      </c>
      <c r="Q3" s="17">
        <f t="shared" ref="Q3:Q7" si="9">2*O3</f>
        <v>2.3476927249203822E-2</v>
      </c>
      <c r="R3" s="10">
        <f t="shared" ref="R3:R7" si="10">M3*$C$17*10^(-3)</f>
        <v>120.63507250361265</v>
      </c>
      <c r="S3" s="19">
        <f t="shared" ref="S3:S7" si="11">R3*53000</f>
        <v>6393658.8426914699</v>
      </c>
      <c r="U3">
        <f>((3*5000)/(4*PI()))^(1/3)</f>
        <v>10.60784417947055</v>
      </c>
    </row>
    <row r="4" spans="2:21" x14ac:dyDescent="0.3">
      <c r="B4" s="1" t="s">
        <v>4</v>
      </c>
      <c r="C4" s="1" t="s">
        <v>5</v>
      </c>
      <c r="D4" s="1"/>
      <c r="E4" s="1">
        <v>3.14</v>
      </c>
      <c r="F4" s="1">
        <v>3</v>
      </c>
      <c r="G4" s="1">
        <f t="shared" si="0"/>
        <v>28.26</v>
      </c>
      <c r="H4" s="1">
        <f t="shared" si="1"/>
        <v>18.84</v>
      </c>
      <c r="I4" s="1">
        <f t="shared" si="2"/>
        <v>3333.3333333333335</v>
      </c>
      <c r="J4" s="1">
        <f t="shared" si="3"/>
        <v>176.92852087756546</v>
      </c>
      <c r="K4" s="1">
        <f t="shared" si="4"/>
        <v>5000</v>
      </c>
      <c r="L4" s="1">
        <f t="shared" si="5"/>
        <v>4.3497842754753924</v>
      </c>
      <c r="M4" s="3">
        <f t="shared" si="6"/>
        <v>5.2343948942253924</v>
      </c>
      <c r="N4" s="9">
        <f t="shared" si="7"/>
        <v>1.3540207006369427</v>
      </c>
      <c r="O4" s="17">
        <f t="shared" ref="O4:O7" si="12">IF((1.05*$C$8*9.81*J4)*F4/(0.7*((10^6)/(1.025*1.15)))/(10^3)&gt;=0.004, (1.05*$C$8*9.81*J4)*F4/(0.7*((10^6)/(1.025*1.15)))/(10^3), 0.004)</f>
        <v>7.8256424164012735E-3</v>
      </c>
      <c r="P4" s="17">
        <f t="shared" si="8"/>
        <v>0.69228966882530729</v>
      </c>
      <c r="Q4" s="17">
        <f t="shared" si="9"/>
        <v>1.5651284832802547E-2</v>
      </c>
      <c r="R4" s="10">
        <f t="shared" si="10"/>
        <v>41.351719664380603</v>
      </c>
      <c r="S4" s="19">
        <f t="shared" si="11"/>
        <v>2191641.142212172</v>
      </c>
      <c r="U4">
        <f>1.98*10*10^3/(2*233.3)</f>
        <v>42.434633519074154</v>
      </c>
    </row>
    <row r="5" spans="2:21" x14ac:dyDescent="0.3">
      <c r="B5" s="1" t="s">
        <v>6</v>
      </c>
      <c r="C5" s="2" t="s">
        <v>7</v>
      </c>
      <c r="D5" s="1"/>
      <c r="E5" s="1">
        <v>3.14</v>
      </c>
      <c r="F5" s="1">
        <v>4</v>
      </c>
      <c r="G5" s="1">
        <f t="shared" si="0"/>
        <v>50.24</v>
      </c>
      <c r="H5" s="1">
        <f t="shared" si="1"/>
        <v>25.12</v>
      </c>
      <c r="I5" s="1">
        <f t="shared" si="2"/>
        <v>2500</v>
      </c>
      <c r="J5" s="1">
        <f t="shared" si="3"/>
        <v>99.522292993630572</v>
      </c>
      <c r="K5" s="1">
        <f t="shared" si="4"/>
        <v>5000</v>
      </c>
      <c r="L5" s="1">
        <f t="shared" si="5"/>
        <v>1.835065241216181</v>
      </c>
      <c r="M5" s="3">
        <f t="shared" si="6"/>
        <v>3.0145460662161812</v>
      </c>
      <c r="N5" s="9">
        <f t="shared" si="7"/>
        <v>0.8053866441082802</v>
      </c>
      <c r="O5" s="17">
        <f t="shared" si="12"/>
        <v>5.8692318123009556E-3</v>
      </c>
      <c r="P5" s="17">
        <f t="shared" si="8"/>
        <v>0.29205970403567649</v>
      </c>
      <c r="Q5" s="17">
        <f t="shared" si="9"/>
        <v>1.1738463624601911E-2</v>
      </c>
      <c r="R5" s="10">
        <f t="shared" si="10"/>
        <v>23.814913923107831</v>
      </c>
      <c r="S5" s="19">
        <f t="shared" si="11"/>
        <v>1262190.437924715</v>
      </c>
    </row>
    <row r="6" spans="2:21" x14ac:dyDescent="0.3">
      <c r="B6" s="1" t="s">
        <v>32</v>
      </c>
      <c r="C6" s="1" t="s">
        <v>37</v>
      </c>
      <c r="E6" s="1">
        <v>3.14</v>
      </c>
      <c r="F6" s="1">
        <v>5</v>
      </c>
      <c r="G6" s="1">
        <f t="shared" si="0"/>
        <v>78.5</v>
      </c>
      <c r="H6" s="1">
        <f t="shared" si="1"/>
        <v>31.400000000000002</v>
      </c>
      <c r="I6" s="1">
        <f t="shared" si="2"/>
        <v>2000</v>
      </c>
      <c r="J6" s="1">
        <f t="shared" si="3"/>
        <v>63.694267515923563</v>
      </c>
      <c r="K6" s="1">
        <f t="shared" si="4"/>
        <v>5000</v>
      </c>
      <c r="L6" s="1">
        <f t="shared" si="5"/>
        <v>0.93955340350268457</v>
      </c>
      <c r="M6" s="3">
        <f t="shared" si="6"/>
        <v>2.4139044347526846</v>
      </c>
      <c r="N6" s="9">
        <f t="shared" si="7"/>
        <v>0.55144745222929936</v>
      </c>
      <c r="O6" s="17">
        <f t="shared" si="12"/>
        <v>4.6953854498407643E-3</v>
      </c>
      <c r="P6" s="17">
        <f t="shared" si="8"/>
        <v>0.14953456846626634</v>
      </c>
      <c r="Q6" s="17">
        <f t="shared" si="9"/>
        <v>9.3907708996815286E-3</v>
      </c>
      <c r="R6" s="10">
        <f t="shared" si="10"/>
        <v>19.069845034546208</v>
      </c>
      <c r="S6" s="19">
        <f t="shared" si="11"/>
        <v>1010701.786830949</v>
      </c>
      <c r="U6">
        <f>PI()*(F2*2)^2*J2*7800/4000/1000</f>
        <v>39.019781366242654</v>
      </c>
    </row>
    <row r="7" spans="2:21" x14ac:dyDescent="0.3">
      <c r="B7" s="1" t="s">
        <v>17</v>
      </c>
      <c r="C7" s="1" t="s">
        <v>15</v>
      </c>
      <c r="E7" s="1">
        <v>3.14</v>
      </c>
      <c r="F7" s="1">
        <v>6</v>
      </c>
      <c r="G7" s="1">
        <f t="shared" si="0"/>
        <v>113.04</v>
      </c>
      <c r="H7" s="1">
        <f t="shared" si="1"/>
        <v>37.68</v>
      </c>
      <c r="I7" s="1">
        <f t="shared" si="2"/>
        <v>1666.6666666666667</v>
      </c>
      <c r="J7" s="1">
        <f t="shared" si="3"/>
        <v>44.232130219391365</v>
      </c>
      <c r="K7" s="1">
        <f t="shared" si="4"/>
        <v>5000</v>
      </c>
      <c r="L7" s="1">
        <f t="shared" si="5"/>
        <v>2.5132741228718346E-2</v>
      </c>
      <c r="M7" s="3">
        <f t="shared" si="6"/>
        <v>1.8337727412287186</v>
      </c>
      <c r="N7" s="9">
        <f t="shared" si="7"/>
        <v>0.41350517515923568</v>
      </c>
      <c r="O7" s="17">
        <f t="shared" si="12"/>
        <v>4.0000000000000001E-3</v>
      </c>
      <c r="P7" s="17">
        <f t="shared" si="8"/>
        <v>4.0000000000000001E-3</v>
      </c>
      <c r="Q7" s="17">
        <f t="shared" si="9"/>
        <v>8.0000000000000002E-3</v>
      </c>
      <c r="R7" s="10">
        <f t="shared" si="10"/>
        <v>14.486804655706878</v>
      </c>
      <c r="S7" s="19">
        <f t="shared" si="11"/>
        <v>767800.64675246459</v>
      </c>
    </row>
    <row r="8" spans="2:21" x14ac:dyDescent="0.3">
      <c r="B8" s="1" t="s">
        <v>16</v>
      </c>
      <c r="C8">
        <v>850</v>
      </c>
      <c r="E8" s="1">
        <v>3.14</v>
      </c>
      <c r="F8" s="1">
        <v>7</v>
      </c>
      <c r="G8" s="1">
        <f t="shared" ref="G8:G71" si="13">E8*F8^2</f>
        <v>153.86000000000001</v>
      </c>
      <c r="H8" s="1">
        <f t="shared" ref="H8:H71" si="14">2*E8*F8</f>
        <v>43.96</v>
      </c>
      <c r="I8" s="1">
        <f t="shared" si="2"/>
        <v>1428.5714285714284</v>
      </c>
      <c r="J8" s="1">
        <f t="shared" ref="J8:J71" si="15">K8/G8</f>
        <v>32.497075263226307</v>
      </c>
      <c r="K8" s="1">
        <f t="shared" si="4"/>
        <v>5000</v>
      </c>
      <c r="L8" s="1">
        <f t="shared" ref="L8:L71" si="16">2*PI()*P8</f>
        <v>2.5132741228718346E-2</v>
      </c>
      <c r="M8" s="3">
        <f t="shared" ref="M8:M71" si="17">(G8*2*Q8)+L8</f>
        <v>2.486892741228719</v>
      </c>
      <c r="N8" s="9">
        <f t="shared" ref="N8:N71" si="18">0.1+$C$8*J8*0.85*9.81/(10^6)</f>
        <v>0.33033033277005069</v>
      </c>
      <c r="O8" s="17">
        <f t="shared" ref="O8:O71" si="19">IF((1.05*$C$8*9.81*J8)*F8/(0.7*((10^6)/(1.025*1.15)))/(10^3)&gt;=0.004, (1.05*$C$8*9.81*J8)*F8/(0.7*((10^6)/(1.025*1.15)))/(10^3), 0.004)</f>
        <v>4.0000000000000001E-3</v>
      </c>
      <c r="P8" s="17">
        <f t="shared" ref="P8:P71" si="20">IF((1.05*$C$8*9.81*J8)*F8/(0.7*((10^6)/(1.025*1.15))*10^3)&gt;=0.004, (1.05*$C$8*9.81*J8^2)*F8/(0.7*((10^6)/(1.025*1.15))*2*10^3), 0.004)</f>
        <v>4.0000000000000001E-3</v>
      </c>
      <c r="Q8" s="17">
        <f t="shared" ref="Q8:Q71" si="21">2*O8</f>
        <v>8.0000000000000002E-3</v>
      </c>
      <c r="R8" s="10">
        <f t="shared" ref="R8:R71" si="22">M8*$C$17*10^(-3)</f>
        <v>19.646452655706877</v>
      </c>
      <c r="S8" s="19">
        <f t="shared" ref="S8:S71" si="23">R8*53000</f>
        <v>1041261.9907524645</v>
      </c>
    </row>
    <row r="9" spans="2:21" x14ac:dyDescent="0.3">
      <c r="B9" s="1" t="s">
        <v>18</v>
      </c>
      <c r="C9">
        <v>100</v>
      </c>
      <c r="E9" s="1">
        <v>3.14</v>
      </c>
      <c r="F9" s="1">
        <v>8</v>
      </c>
      <c r="G9" s="1">
        <f t="shared" si="13"/>
        <v>200.96</v>
      </c>
      <c r="H9" s="1">
        <f t="shared" si="14"/>
        <v>50.24</v>
      </c>
      <c r="I9" s="1">
        <f t="shared" si="2"/>
        <v>1250</v>
      </c>
      <c r="J9" s="1">
        <f t="shared" si="15"/>
        <v>24.880573248407643</v>
      </c>
      <c r="K9" s="1">
        <f t="shared" si="4"/>
        <v>5000</v>
      </c>
      <c r="L9" s="1">
        <f t="shared" si="16"/>
        <v>2.5132741228718346E-2</v>
      </c>
      <c r="M9" s="3">
        <f t="shared" si="17"/>
        <v>3.2404927412287186</v>
      </c>
      <c r="N9" s="9">
        <f t="shared" si="18"/>
        <v>0.27634666102707006</v>
      </c>
      <c r="O9" s="17">
        <f t="shared" si="19"/>
        <v>4.0000000000000001E-3</v>
      </c>
      <c r="P9" s="17">
        <f t="shared" si="20"/>
        <v>4.0000000000000001E-3</v>
      </c>
      <c r="Q9" s="17">
        <f t="shared" si="21"/>
        <v>8.0000000000000002E-3</v>
      </c>
      <c r="R9" s="10">
        <f t="shared" si="22"/>
        <v>25.599892655706878</v>
      </c>
      <c r="S9" s="19">
        <f t="shared" si="23"/>
        <v>1356794.3107524645</v>
      </c>
    </row>
    <row r="10" spans="2:21" s="14" customFormat="1" x14ac:dyDescent="0.3">
      <c r="B10" s="13" t="s">
        <v>19</v>
      </c>
      <c r="C10" s="14">
        <v>2</v>
      </c>
      <c r="E10" s="1">
        <v>3.14</v>
      </c>
      <c r="F10" s="1">
        <v>9</v>
      </c>
      <c r="G10" s="1">
        <f t="shared" si="13"/>
        <v>254.34</v>
      </c>
      <c r="H10" s="1">
        <f t="shared" si="14"/>
        <v>56.52</v>
      </c>
      <c r="I10" s="1">
        <f t="shared" si="2"/>
        <v>1111.1111111111111</v>
      </c>
      <c r="J10" s="1">
        <f t="shared" si="15"/>
        <v>19.658724541951717</v>
      </c>
      <c r="K10" s="1">
        <f t="shared" si="4"/>
        <v>5000</v>
      </c>
      <c r="L10" s="1">
        <f t="shared" si="16"/>
        <v>2.5132741228718346E-2</v>
      </c>
      <c r="M10" s="3">
        <f t="shared" si="17"/>
        <v>4.0945727412287187</v>
      </c>
      <c r="N10" s="9">
        <f t="shared" si="18"/>
        <v>0.23933563340410474</v>
      </c>
      <c r="O10" s="17">
        <f t="shared" si="19"/>
        <v>4.0000000000000001E-3</v>
      </c>
      <c r="P10" s="17">
        <f t="shared" si="20"/>
        <v>4.0000000000000001E-3</v>
      </c>
      <c r="Q10" s="17">
        <f t="shared" si="21"/>
        <v>8.0000000000000002E-3</v>
      </c>
      <c r="R10" s="10">
        <f t="shared" si="22"/>
        <v>32.347124655706878</v>
      </c>
      <c r="S10" s="19">
        <f t="shared" si="23"/>
        <v>1714397.6067524645</v>
      </c>
    </row>
    <row r="11" spans="2:21" x14ac:dyDescent="0.3">
      <c r="C11" s="7">
        <f>402.1</f>
        <v>402.1</v>
      </c>
      <c r="E11" s="1">
        <v>3.14</v>
      </c>
      <c r="F11" s="1">
        <v>10</v>
      </c>
      <c r="G11" s="1">
        <f t="shared" si="13"/>
        <v>314</v>
      </c>
      <c r="H11" s="1">
        <f t="shared" si="14"/>
        <v>62.800000000000004</v>
      </c>
      <c r="I11" s="1">
        <f t="shared" si="2"/>
        <v>1000</v>
      </c>
      <c r="J11" s="1">
        <f t="shared" si="15"/>
        <v>15.923566878980891</v>
      </c>
      <c r="K11" s="1">
        <f t="shared" si="4"/>
        <v>5000</v>
      </c>
      <c r="L11" s="1">
        <f t="shared" si="16"/>
        <v>2.5132741228718346E-2</v>
      </c>
      <c r="M11" s="3">
        <f t="shared" si="17"/>
        <v>5.0491327412287186</v>
      </c>
      <c r="N11" s="9">
        <f t="shared" si="18"/>
        <v>0.21286186305732485</v>
      </c>
      <c r="O11" s="17">
        <f t="shared" si="19"/>
        <v>4.0000000000000001E-3</v>
      </c>
      <c r="P11" s="17">
        <f t="shared" si="20"/>
        <v>4.0000000000000001E-3</v>
      </c>
      <c r="Q11" s="17">
        <f t="shared" si="21"/>
        <v>8.0000000000000002E-3</v>
      </c>
      <c r="R11" s="10">
        <f t="shared" si="22"/>
        <v>39.888148655706878</v>
      </c>
      <c r="S11" s="19">
        <f t="shared" si="23"/>
        <v>2114071.8787524644</v>
      </c>
    </row>
    <row r="12" spans="2:21" ht="15.6" x14ac:dyDescent="0.3">
      <c r="C12" s="8">
        <f>143*10^6</f>
        <v>143000000</v>
      </c>
      <c r="E12" s="1">
        <v>3.14</v>
      </c>
      <c r="F12" s="1">
        <v>11</v>
      </c>
      <c r="G12" s="1">
        <f t="shared" si="13"/>
        <v>379.94</v>
      </c>
      <c r="H12" s="1">
        <f t="shared" si="14"/>
        <v>69.08</v>
      </c>
      <c r="I12" s="1">
        <f t="shared" si="2"/>
        <v>909.09090909090912</v>
      </c>
      <c r="J12" s="1">
        <f t="shared" si="15"/>
        <v>13.159972627256936</v>
      </c>
      <c r="K12" s="1">
        <f t="shared" si="4"/>
        <v>5000</v>
      </c>
      <c r="L12" s="1">
        <f t="shared" si="16"/>
        <v>2.5132741228718346E-2</v>
      </c>
      <c r="M12" s="3">
        <f t="shared" si="17"/>
        <v>6.1041727412287186</v>
      </c>
      <c r="N12" s="9">
        <f t="shared" si="18"/>
        <v>0.19327426698952466</v>
      </c>
      <c r="O12" s="17">
        <f t="shared" si="19"/>
        <v>4.0000000000000001E-3</v>
      </c>
      <c r="P12" s="17">
        <f t="shared" si="20"/>
        <v>4.0000000000000001E-3</v>
      </c>
      <c r="Q12" s="17">
        <f t="shared" si="21"/>
        <v>8.0000000000000002E-3</v>
      </c>
      <c r="R12" s="10">
        <f t="shared" si="22"/>
        <v>48.222964655706875</v>
      </c>
      <c r="S12" s="19">
        <f t="shared" si="23"/>
        <v>2555817.1267524646</v>
      </c>
    </row>
    <row r="13" spans="2:21" x14ac:dyDescent="0.3">
      <c r="E13" s="1">
        <v>3.14</v>
      </c>
      <c r="F13" s="1">
        <v>12</v>
      </c>
      <c r="G13" s="1">
        <f t="shared" si="13"/>
        <v>452.16</v>
      </c>
      <c r="H13" s="1">
        <f t="shared" si="14"/>
        <v>75.36</v>
      </c>
      <c r="I13" s="1">
        <f t="shared" si="2"/>
        <v>833.33333333333337</v>
      </c>
      <c r="J13" s="1">
        <f t="shared" si="15"/>
        <v>11.058032554847841</v>
      </c>
      <c r="K13" s="1">
        <f t="shared" si="4"/>
        <v>5000</v>
      </c>
      <c r="L13" s="1">
        <f t="shared" si="16"/>
        <v>2.5132741228718346E-2</v>
      </c>
      <c r="M13" s="3">
        <f t="shared" si="17"/>
        <v>7.2596927412287195</v>
      </c>
      <c r="N13" s="9">
        <f t="shared" si="18"/>
        <v>0.1783762937898089</v>
      </c>
      <c r="O13" s="17">
        <f t="shared" si="19"/>
        <v>4.0000000000000001E-3</v>
      </c>
      <c r="P13" s="17">
        <f t="shared" si="20"/>
        <v>4.0000000000000001E-3</v>
      </c>
      <c r="Q13" s="17">
        <f t="shared" si="21"/>
        <v>8.0000000000000002E-3</v>
      </c>
      <c r="R13" s="10">
        <f t="shared" si="22"/>
        <v>57.351572655706889</v>
      </c>
      <c r="S13" s="19">
        <f t="shared" si="23"/>
        <v>3039633.350752465</v>
      </c>
    </row>
    <row r="14" spans="2:21" x14ac:dyDescent="0.3">
      <c r="B14" t="s">
        <v>20</v>
      </c>
      <c r="C14">
        <v>350</v>
      </c>
      <c r="E14" s="1">
        <v>3.14</v>
      </c>
      <c r="F14" s="1">
        <v>13</v>
      </c>
      <c r="G14" s="1">
        <f t="shared" si="13"/>
        <v>530.66</v>
      </c>
      <c r="H14" s="1">
        <f t="shared" si="14"/>
        <v>81.64</v>
      </c>
      <c r="I14" s="1">
        <f t="shared" si="2"/>
        <v>769.23076923076928</v>
      </c>
      <c r="J14" s="1">
        <f t="shared" si="15"/>
        <v>9.4222289224739004</v>
      </c>
      <c r="K14" s="1">
        <f t="shared" si="4"/>
        <v>5000</v>
      </c>
      <c r="L14" s="1">
        <f t="shared" si="16"/>
        <v>2.5132741228718346E-2</v>
      </c>
      <c r="M14" s="3">
        <f t="shared" si="17"/>
        <v>8.5156927412287189</v>
      </c>
      <c r="N14" s="9">
        <f t="shared" si="18"/>
        <v>0.16678216748954133</v>
      </c>
      <c r="O14" s="17">
        <f t="shared" si="19"/>
        <v>4.0000000000000001E-3</v>
      </c>
      <c r="P14" s="17">
        <f t="shared" si="20"/>
        <v>4.0000000000000001E-3</v>
      </c>
      <c r="Q14" s="17">
        <f t="shared" si="21"/>
        <v>8.0000000000000002E-3</v>
      </c>
      <c r="R14" s="10">
        <f t="shared" si="22"/>
        <v>67.273972655706885</v>
      </c>
      <c r="S14" s="19">
        <f t="shared" si="23"/>
        <v>3565520.5507524647</v>
      </c>
    </row>
    <row r="15" spans="2:21" x14ac:dyDescent="0.3">
      <c r="B15" t="s">
        <v>21</v>
      </c>
      <c r="C15">
        <v>1.5</v>
      </c>
      <c r="E15" s="1">
        <v>3.14</v>
      </c>
      <c r="F15" s="1">
        <v>14</v>
      </c>
      <c r="G15" s="1">
        <f t="shared" si="13"/>
        <v>615.44000000000005</v>
      </c>
      <c r="H15" s="1">
        <f t="shared" si="14"/>
        <v>87.92</v>
      </c>
      <c r="I15" s="1">
        <f t="shared" si="2"/>
        <v>714.28571428571422</v>
      </c>
      <c r="J15" s="1">
        <f t="shared" si="15"/>
        <v>8.1242688158065768</v>
      </c>
      <c r="K15" s="1">
        <f t="shared" si="4"/>
        <v>5000</v>
      </c>
      <c r="L15" s="1">
        <f t="shared" si="16"/>
        <v>2.5132741228718346E-2</v>
      </c>
      <c r="M15" s="3">
        <f t="shared" si="17"/>
        <v>9.8721727412287201</v>
      </c>
      <c r="N15" s="9">
        <f t="shared" si="18"/>
        <v>0.15758258319251267</v>
      </c>
      <c r="O15" s="17">
        <f t="shared" si="19"/>
        <v>4.0000000000000001E-3</v>
      </c>
      <c r="P15" s="17">
        <f t="shared" si="20"/>
        <v>4.0000000000000001E-3</v>
      </c>
      <c r="Q15" s="17">
        <f t="shared" si="21"/>
        <v>8.0000000000000002E-3</v>
      </c>
      <c r="R15" s="10">
        <f t="shared" si="22"/>
        <v>77.990164655706891</v>
      </c>
      <c r="S15" s="19">
        <f t="shared" si="23"/>
        <v>4133478.7267524651</v>
      </c>
    </row>
    <row r="16" spans="2:21" x14ac:dyDescent="0.3">
      <c r="B16" t="s">
        <v>24</v>
      </c>
      <c r="C16" s="10">
        <f>C14/C15</f>
        <v>233.33333333333334</v>
      </c>
      <c r="E16" s="1">
        <v>3.14</v>
      </c>
      <c r="F16" s="1">
        <v>15</v>
      </c>
      <c r="G16" s="1">
        <f t="shared" si="13"/>
        <v>706.5</v>
      </c>
      <c r="H16" s="1">
        <f t="shared" si="14"/>
        <v>94.2</v>
      </c>
      <c r="I16" s="1">
        <f t="shared" si="2"/>
        <v>666.66666666666663</v>
      </c>
      <c r="J16" s="1">
        <f t="shared" si="15"/>
        <v>7.0771408351026182</v>
      </c>
      <c r="K16" s="1">
        <f t="shared" si="4"/>
        <v>5000</v>
      </c>
      <c r="L16" s="1">
        <f t="shared" si="16"/>
        <v>2.5132741228718346E-2</v>
      </c>
      <c r="M16" s="3">
        <f t="shared" si="17"/>
        <v>11.329132741228719</v>
      </c>
      <c r="N16" s="9">
        <f t="shared" si="18"/>
        <v>0.15016082802547773</v>
      </c>
      <c r="O16" s="17">
        <f t="shared" si="19"/>
        <v>4.0000000000000001E-3</v>
      </c>
      <c r="P16" s="17">
        <f t="shared" si="20"/>
        <v>4.0000000000000001E-3</v>
      </c>
      <c r="Q16" s="17">
        <f t="shared" si="21"/>
        <v>8.0000000000000002E-3</v>
      </c>
      <c r="R16" s="10">
        <f t="shared" si="22"/>
        <v>89.500148655706894</v>
      </c>
      <c r="S16" s="19">
        <f t="shared" si="23"/>
        <v>4743507.8787524654</v>
      </c>
    </row>
    <row r="17" spans="2:19" x14ac:dyDescent="0.3">
      <c r="B17" t="s">
        <v>28</v>
      </c>
      <c r="C17">
        <v>7900</v>
      </c>
      <c r="E17" s="1">
        <v>3.14</v>
      </c>
      <c r="F17" s="1">
        <v>16</v>
      </c>
      <c r="G17" s="1">
        <f t="shared" si="13"/>
        <v>803.84</v>
      </c>
      <c r="H17" s="1">
        <f t="shared" si="14"/>
        <v>100.48</v>
      </c>
      <c r="I17" s="1">
        <f t="shared" si="2"/>
        <v>625</v>
      </c>
      <c r="J17" s="1">
        <f t="shared" si="15"/>
        <v>6.2201433121019107</v>
      </c>
      <c r="K17" s="1">
        <f t="shared" si="4"/>
        <v>5000</v>
      </c>
      <c r="L17" s="1">
        <f t="shared" si="16"/>
        <v>2.5132741228718346E-2</v>
      </c>
      <c r="M17" s="3">
        <f t="shared" si="17"/>
        <v>12.886572741228719</v>
      </c>
      <c r="N17" s="9">
        <f t="shared" si="18"/>
        <v>0.14408666525676753</v>
      </c>
      <c r="O17" s="17">
        <f t="shared" si="19"/>
        <v>4.0000000000000001E-3</v>
      </c>
      <c r="P17" s="17">
        <f t="shared" si="20"/>
        <v>4.0000000000000001E-3</v>
      </c>
      <c r="Q17" s="17">
        <f t="shared" si="21"/>
        <v>8.0000000000000002E-3</v>
      </c>
      <c r="R17" s="10">
        <f t="shared" si="22"/>
        <v>101.80392465570688</v>
      </c>
      <c r="S17" s="19">
        <f t="shared" si="23"/>
        <v>5395608.0067524649</v>
      </c>
    </row>
    <row r="18" spans="2:19" x14ac:dyDescent="0.3">
      <c r="B18" t="s">
        <v>38</v>
      </c>
      <c r="C18">
        <v>5000</v>
      </c>
      <c r="E18" s="1">
        <v>3.14</v>
      </c>
      <c r="F18" s="1">
        <v>17</v>
      </c>
      <c r="G18" s="1">
        <f t="shared" si="13"/>
        <v>907.46</v>
      </c>
      <c r="H18" s="1">
        <f t="shared" si="14"/>
        <v>106.76</v>
      </c>
      <c r="I18" s="1">
        <f t="shared" si="2"/>
        <v>588.23529411764707</v>
      </c>
      <c r="J18" s="1">
        <f t="shared" si="15"/>
        <v>5.5098847332113809</v>
      </c>
      <c r="K18" s="1">
        <f t="shared" si="4"/>
        <v>5000</v>
      </c>
      <c r="L18" s="1">
        <f t="shared" si="16"/>
        <v>2.5132741228718346E-2</v>
      </c>
      <c r="M18" s="3">
        <f t="shared" si="17"/>
        <v>14.544492741228719</v>
      </c>
      <c r="N18" s="9">
        <f t="shared" si="18"/>
        <v>0.13905254777070064</v>
      </c>
      <c r="O18" s="17">
        <f t="shared" si="19"/>
        <v>4.0000000000000001E-3</v>
      </c>
      <c r="P18" s="17">
        <f t="shared" si="20"/>
        <v>4.0000000000000001E-3</v>
      </c>
      <c r="Q18" s="17">
        <f t="shared" si="21"/>
        <v>8.0000000000000002E-3</v>
      </c>
      <c r="R18" s="10">
        <f t="shared" si="22"/>
        <v>114.90149265570689</v>
      </c>
      <c r="S18" s="19">
        <f t="shared" si="23"/>
        <v>6089779.1107524652</v>
      </c>
    </row>
    <row r="19" spans="2:19" x14ac:dyDescent="0.3">
      <c r="E19" s="1">
        <v>3.14</v>
      </c>
      <c r="F19" s="1">
        <v>18</v>
      </c>
      <c r="G19" s="1">
        <f t="shared" si="13"/>
        <v>1017.36</v>
      </c>
      <c r="H19" s="1">
        <f t="shared" si="14"/>
        <v>113.04</v>
      </c>
      <c r="I19" s="1">
        <f t="shared" si="2"/>
        <v>555.55555555555554</v>
      </c>
      <c r="J19" s="1">
        <f t="shared" si="15"/>
        <v>4.9146811354879292</v>
      </c>
      <c r="K19" s="1">
        <f t="shared" si="4"/>
        <v>5000</v>
      </c>
      <c r="L19" s="1">
        <f t="shared" si="16"/>
        <v>2.5132741228718346E-2</v>
      </c>
      <c r="M19" s="3">
        <f t="shared" si="17"/>
        <v>16.302892741228717</v>
      </c>
      <c r="N19" s="9">
        <f t="shared" si="18"/>
        <v>0.13483390835102618</v>
      </c>
      <c r="O19" s="17">
        <f t="shared" si="19"/>
        <v>4.0000000000000001E-3</v>
      </c>
      <c r="P19" s="17">
        <f t="shared" si="20"/>
        <v>4.0000000000000001E-3</v>
      </c>
      <c r="Q19" s="17">
        <f t="shared" si="21"/>
        <v>8.0000000000000002E-3</v>
      </c>
      <c r="R19" s="10">
        <f t="shared" si="22"/>
        <v>128.79285265570687</v>
      </c>
      <c r="S19" s="19">
        <f t="shared" si="23"/>
        <v>6826021.1907524643</v>
      </c>
    </row>
    <row r="20" spans="2:19" x14ac:dyDescent="0.3">
      <c r="E20" s="1">
        <v>3.14</v>
      </c>
      <c r="F20" s="1">
        <v>19</v>
      </c>
      <c r="G20" s="1">
        <f t="shared" si="13"/>
        <v>1133.54</v>
      </c>
      <c r="H20" s="1">
        <f t="shared" si="14"/>
        <v>119.32000000000001</v>
      </c>
      <c r="I20" s="1">
        <f t="shared" si="2"/>
        <v>526.31578947368428</v>
      </c>
      <c r="J20" s="1">
        <f t="shared" si="15"/>
        <v>4.4109603542883358</v>
      </c>
      <c r="K20" s="1">
        <f t="shared" si="4"/>
        <v>5000</v>
      </c>
      <c r="L20" s="1">
        <f t="shared" si="16"/>
        <v>2.5132741228718346E-2</v>
      </c>
      <c r="M20" s="3">
        <f t="shared" si="17"/>
        <v>18.161772741228717</v>
      </c>
      <c r="N20" s="9">
        <f t="shared" si="18"/>
        <v>0.13126367397709832</v>
      </c>
      <c r="O20" s="17">
        <f t="shared" si="19"/>
        <v>4.0000000000000001E-3</v>
      </c>
      <c r="P20" s="17">
        <f t="shared" si="20"/>
        <v>4.0000000000000001E-3</v>
      </c>
      <c r="Q20" s="17">
        <f t="shared" si="21"/>
        <v>8.0000000000000002E-3</v>
      </c>
      <c r="R20" s="10">
        <f t="shared" si="22"/>
        <v>143.47800465570688</v>
      </c>
      <c r="S20" s="19">
        <f t="shared" si="23"/>
        <v>7604334.2467524651</v>
      </c>
    </row>
    <row r="21" spans="2:19" x14ac:dyDescent="0.3">
      <c r="E21" s="1">
        <v>3.14</v>
      </c>
      <c r="F21" s="1">
        <v>20</v>
      </c>
      <c r="G21" s="1">
        <f t="shared" si="13"/>
        <v>1256</v>
      </c>
      <c r="H21" s="1">
        <f t="shared" si="14"/>
        <v>125.60000000000001</v>
      </c>
      <c r="I21" s="1">
        <f t="shared" si="2"/>
        <v>500</v>
      </c>
      <c r="J21" s="1">
        <f t="shared" si="15"/>
        <v>3.9808917197452227</v>
      </c>
      <c r="K21" s="1">
        <f t="shared" si="4"/>
        <v>5000</v>
      </c>
      <c r="L21" s="1">
        <f t="shared" si="16"/>
        <v>2.5132741228718346E-2</v>
      </c>
      <c r="M21" s="3">
        <f t="shared" si="17"/>
        <v>20.121132741228717</v>
      </c>
      <c r="N21" s="9">
        <f t="shared" si="18"/>
        <v>0.12821546576433121</v>
      </c>
      <c r="O21" s="17">
        <f t="shared" si="19"/>
        <v>4.0000000000000001E-3</v>
      </c>
      <c r="P21" s="17">
        <f t="shared" si="20"/>
        <v>4.0000000000000001E-3</v>
      </c>
      <c r="Q21" s="17">
        <f t="shared" si="21"/>
        <v>8.0000000000000002E-3</v>
      </c>
      <c r="R21" s="10">
        <f t="shared" si="22"/>
        <v>158.95694865570687</v>
      </c>
      <c r="S21" s="19">
        <f t="shared" si="23"/>
        <v>8424718.2787524648</v>
      </c>
    </row>
    <row r="22" spans="2:19" x14ac:dyDescent="0.3">
      <c r="E22" s="1">
        <v>3.14</v>
      </c>
      <c r="F22" s="1">
        <v>21</v>
      </c>
      <c r="G22" s="1">
        <f t="shared" si="13"/>
        <v>1384.74</v>
      </c>
      <c r="H22" s="1">
        <f t="shared" si="14"/>
        <v>131.88</v>
      </c>
      <c r="I22" s="1">
        <f t="shared" si="2"/>
        <v>476.19047619047615</v>
      </c>
      <c r="J22" s="1">
        <f t="shared" si="15"/>
        <v>3.6107861403584787</v>
      </c>
      <c r="K22" s="1">
        <f t="shared" si="4"/>
        <v>5000</v>
      </c>
      <c r="L22" s="1">
        <f t="shared" si="16"/>
        <v>2.5132741228718346E-2</v>
      </c>
      <c r="M22" s="3">
        <f t="shared" si="17"/>
        <v>22.180972741228718</v>
      </c>
      <c r="N22" s="9">
        <f t="shared" si="18"/>
        <v>0.1255922591966723</v>
      </c>
      <c r="O22" s="17">
        <f t="shared" si="19"/>
        <v>4.0000000000000001E-3</v>
      </c>
      <c r="P22" s="17">
        <f t="shared" si="20"/>
        <v>4.0000000000000001E-3</v>
      </c>
      <c r="Q22" s="17">
        <f t="shared" si="21"/>
        <v>8.0000000000000002E-3</v>
      </c>
      <c r="R22" s="10">
        <f t="shared" si="22"/>
        <v>175.22968465570688</v>
      </c>
      <c r="S22" s="19">
        <f t="shared" si="23"/>
        <v>9287173.2867524642</v>
      </c>
    </row>
    <row r="23" spans="2:19" x14ac:dyDescent="0.3">
      <c r="E23" s="1">
        <v>3.14</v>
      </c>
      <c r="F23" s="1">
        <v>22</v>
      </c>
      <c r="G23" s="1">
        <f t="shared" si="13"/>
        <v>1519.76</v>
      </c>
      <c r="H23" s="1">
        <f t="shared" si="14"/>
        <v>138.16</v>
      </c>
      <c r="I23" s="1">
        <f t="shared" si="2"/>
        <v>454.54545454545456</v>
      </c>
      <c r="J23" s="1">
        <f t="shared" si="15"/>
        <v>3.289993156814234</v>
      </c>
      <c r="K23" s="1">
        <f t="shared" si="4"/>
        <v>5000</v>
      </c>
      <c r="L23" s="1">
        <f t="shared" si="16"/>
        <v>2.5132741228718346E-2</v>
      </c>
      <c r="M23" s="3">
        <f t="shared" si="17"/>
        <v>24.341292741228717</v>
      </c>
      <c r="N23" s="9">
        <f t="shared" si="18"/>
        <v>0.12331856674738118</v>
      </c>
      <c r="O23" s="17">
        <f t="shared" si="19"/>
        <v>4.0000000000000001E-3</v>
      </c>
      <c r="P23" s="17">
        <f t="shared" si="20"/>
        <v>4.0000000000000001E-3</v>
      </c>
      <c r="Q23" s="17">
        <f t="shared" si="21"/>
        <v>8.0000000000000002E-3</v>
      </c>
      <c r="R23" s="10">
        <f t="shared" si="22"/>
        <v>192.29621265570685</v>
      </c>
      <c r="S23" s="19">
        <f t="shared" si="23"/>
        <v>10191699.270752463</v>
      </c>
    </row>
    <row r="24" spans="2:19" x14ac:dyDescent="0.3">
      <c r="E24" s="1">
        <v>3.14</v>
      </c>
      <c r="F24" s="1">
        <v>23</v>
      </c>
      <c r="G24" s="1">
        <f t="shared" si="13"/>
        <v>1661.0600000000002</v>
      </c>
      <c r="H24" s="1">
        <f t="shared" si="14"/>
        <v>144.44</v>
      </c>
      <c r="I24" s="1">
        <f t="shared" si="2"/>
        <v>434.78260869565213</v>
      </c>
      <c r="J24" s="1">
        <f t="shared" si="15"/>
        <v>3.0101260640795635</v>
      </c>
      <c r="K24" s="1">
        <f t="shared" si="4"/>
        <v>5000</v>
      </c>
      <c r="L24" s="1">
        <f t="shared" si="16"/>
        <v>2.5132741228718346E-2</v>
      </c>
      <c r="M24" s="3">
        <f t="shared" si="17"/>
        <v>26.60209274122872</v>
      </c>
      <c r="N24" s="9">
        <f t="shared" si="18"/>
        <v>0.12133494575752833</v>
      </c>
      <c r="O24" s="17">
        <f t="shared" si="19"/>
        <v>4.0000000000000001E-3</v>
      </c>
      <c r="P24" s="17">
        <f t="shared" si="20"/>
        <v>4.0000000000000001E-3</v>
      </c>
      <c r="Q24" s="17">
        <f t="shared" si="21"/>
        <v>8.0000000000000002E-3</v>
      </c>
      <c r="R24" s="10">
        <f t="shared" si="22"/>
        <v>210.15653265570688</v>
      </c>
      <c r="S24" s="19">
        <f t="shared" si="23"/>
        <v>11138296.230752464</v>
      </c>
    </row>
    <row r="25" spans="2:19" x14ac:dyDescent="0.3">
      <c r="E25" s="1">
        <v>3.14</v>
      </c>
      <c r="F25" s="1">
        <v>24</v>
      </c>
      <c r="G25" s="1">
        <f t="shared" si="13"/>
        <v>1808.64</v>
      </c>
      <c r="H25" s="1">
        <f t="shared" si="14"/>
        <v>150.72</v>
      </c>
      <c r="I25" s="1">
        <f t="shared" si="2"/>
        <v>416.66666666666669</v>
      </c>
      <c r="J25" s="1">
        <f t="shared" si="15"/>
        <v>2.7645081387119603</v>
      </c>
      <c r="K25" s="1">
        <f t="shared" si="4"/>
        <v>5000</v>
      </c>
      <c r="L25" s="1">
        <f t="shared" si="16"/>
        <v>2.5132741228718346E-2</v>
      </c>
      <c r="M25" s="3">
        <f t="shared" si="17"/>
        <v>28.963372741228721</v>
      </c>
      <c r="N25" s="9">
        <f t="shared" si="18"/>
        <v>0.11959407344745224</v>
      </c>
      <c r="O25" s="17">
        <f t="shared" si="19"/>
        <v>4.0000000000000001E-3</v>
      </c>
      <c r="P25" s="17">
        <f t="shared" si="20"/>
        <v>4.0000000000000001E-3</v>
      </c>
      <c r="Q25" s="17">
        <f t="shared" si="21"/>
        <v>8.0000000000000002E-3</v>
      </c>
      <c r="R25" s="10">
        <f t="shared" si="22"/>
        <v>228.81064465570688</v>
      </c>
      <c r="S25" s="19">
        <f t="shared" si="23"/>
        <v>12126964.166752465</v>
      </c>
    </row>
    <row r="26" spans="2:19" x14ac:dyDescent="0.3">
      <c r="E26" s="1">
        <v>3.14</v>
      </c>
      <c r="F26" s="1">
        <v>25</v>
      </c>
      <c r="G26" s="1">
        <f t="shared" si="13"/>
        <v>1962.5</v>
      </c>
      <c r="H26" s="1">
        <f t="shared" si="14"/>
        <v>157</v>
      </c>
      <c r="I26" s="1">
        <f t="shared" si="2"/>
        <v>400</v>
      </c>
      <c r="J26" s="1">
        <f t="shared" si="15"/>
        <v>2.5477707006369426</v>
      </c>
      <c r="K26" s="1">
        <f t="shared" si="4"/>
        <v>5000</v>
      </c>
      <c r="L26" s="1">
        <f t="shared" si="16"/>
        <v>2.5132741228718346E-2</v>
      </c>
      <c r="M26" s="3">
        <f t="shared" si="17"/>
        <v>31.425132741228719</v>
      </c>
      <c r="N26" s="9">
        <f t="shared" si="18"/>
        <v>0.11805789808917198</v>
      </c>
      <c r="O26" s="17">
        <f t="shared" si="19"/>
        <v>4.0000000000000001E-3</v>
      </c>
      <c r="P26" s="17">
        <f t="shared" si="20"/>
        <v>4.0000000000000001E-3</v>
      </c>
      <c r="Q26" s="17">
        <f t="shared" si="21"/>
        <v>8.0000000000000002E-3</v>
      </c>
      <c r="R26" s="10">
        <f t="shared" si="22"/>
        <v>248.25854865570687</v>
      </c>
      <c r="S26" s="19">
        <f t="shared" si="23"/>
        <v>13157703.078752464</v>
      </c>
    </row>
    <row r="27" spans="2:19" x14ac:dyDescent="0.3">
      <c r="E27" s="1">
        <v>3.14</v>
      </c>
      <c r="F27" s="1">
        <v>26</v>
      </c>
      <c r="G27" s="1">
        <f t="shared" si="13"/>
        <v>2122.64</v>
      </c>
      <c r="H27" s="1">
        <f t="shared" si="14"/>
        <v>163.28</v>
      </c>
      <c r="I27" s="1">
        <f t="shared" si="2"/>
        <v>384.61538461538464</v>
      </c>
      <c r="J27" s="1">
        <f t="shared" si="15"/>
        <v>2.3555572306184751</v>
      </c>
      <c r="K27" s="1">
        <f t="shared" si="4"/>
        <v>5000</v>
      </c>
      <c r="L27" s="1">
        <f t="shared" si="16"/>
        <v>2.5132741228718346E-2</v>
      </c>
      <c r="M27" s="3">
        <f t="shared" si="17"/>
        <v>33.987372741228718</v>
      </c>
      <c r="N27" s="9">
        <f t="shared" si="18"/>
        <v>0.11669554187238534</v>
      </c>
      <c r="O27" s="17">
        <f t="shared" si="19"/>
        <v>4.0000000000000001E-3</v>
      </c>
      <c r="P27" s="17">
        <f t="shared" si="20"/>
        <v>4.0000000000000001E-3</v>
      </c>
      <c r="Q27" s="17">
        <f t="shared" si="21"/>
        <v>8.0000000000000002E-3</v>
      </c>
      <c r="R27" s="10">
        <f t="shared" si="22"/>
        <v>268.50024465570687</v>
      </c>
      <c r="S27" s="19">
        <f t="shared" si="23"/>
        <v>14230512.966752464</v>
      </c>
    </row>
    <row r="28" spans="2:19" x14ac:dyDescent="0.3">
      <c r="E28" s="1">
        <v>3.14</v>
      </c>
      <c r="F28" s="1">
        <v>27</v>
      </c>
      <c r="G28" s="1">
        <f t="shared" si="13"/>
        <v>2289.06</v>
      </c>
      <c r="H28" s="1">
        <f t="shared" si="14"/>
        <v>169.56</v>
      </c>
      <c r="I28" s="1">
        <f t="shared" si="2"/>
        <v>370.37037037037038</v>
      </c>
      <c r="J28" s="1">
        <f t="shared" si="15"/>
        <v>2.1843027268835242</v>
      </c>
      <c r="K28" s="1">
        <f t="shared" si="4"/>
        <v>5000</v>
      </c>
      <c r="L28" s="1">
        <f t="shared" si="16"/>
        <v>2.5132741228718346E-2</v>
      </c>
      <c r="M28" s="3">
        <f t="shared" si="17"/>
        <v>36.650092741228718</v>
      </c>
      <c r="N28" s="9">
        <f t="shared" si="18"/>
        <v>0.11548173704490053</v>
      </c>
      <c r="O28" s="17">
        <f t="shared" si="19"/>
        <v>4.0000000000000001E-3</v>
      </c>
      <c r="P28" s="17">
        <f t="shared" si="20"/>
        <v>4.0000000000000001E-3</v>
      </c>
      <c r="Q28" s="17">
        <f t="shared" si="21"/>
        <v>8.0000000000000002E-3</v>
      </c>
      <c r="R28" s="10">
        <f t="shared" si="22"/>
        <v>289.53573265570685</v>
      </c>
      <c r="S28" s="19">
        <f t="shared" si="23"/>
        <v>15345393.830752464</v>
      </c>
    </row>
    <row r="29" spans="2:19" x14ac:dyDescent="0.3">
      <c r="E29" s="1">
        <v>3.14</v>
      </c>
      <c r="F29" s="1">
        <v>28</v>
      </c>
      <c r="G29" s="1">
        <f t="shared" si="13"/>
        <v>2461.7600000000002</v>
      </c>
      <c r="H29" s="1">
        <f t="shared" si="14"/>
        <v>175.84</v>
      </c>
      <c r="I29" s="1">
        <f t="shared" si="2"/>
        <v>357.14285714285711</v>
      </c>
      <c r="J29" s="1">
        <f t="shared" si="15"/>
        <v>2.0310672039516442</v>
      </c>
      <c r="K29" s="1">
        <f t="shared" si="4"/>
        <v>5000</v>
      </c>
      <c r="L29" s="1">
        <f t="shared" si="16"/>
        <v>2.5132741228718346E-2</v>
      </c>
      <c r="M29" s="3">
        <f t="shared" si="17"/>
        <v>39.413292741228723</v>
      </c>
      <c r="N29" s="9">
        <f t="shared" si="18"/>
        <v>0.11439564579812818</v>
      </c>
      <c r="O29" s="17">
        <f t="shared" si="19"/>
        <v>4.0000000000000001E-3</v>
      </c>
      <c r="P29" s="17">
        <f t="shared" si="20"/>
        <v>4.0000000000000001E-3</v>
      </c>
      <c r="Q29" s="17">
        <f t="shared" si="21"/>
        <v>8.0000000000000002E-3</v>
      </c>
      <c r="R29" s="10">
        <f t="shared" si="22"/>
        <v>311.36501265570689</v>
      </c>
      <c r="S29" s="19">
        <f t="shared" si="23"/>
        <v>16502345.670752466</v>
      </c>
    </row>
    <row r="30" spans="2:19" x14ac:dyDescent="0.3">
      <c r="E30" s="1">
        <v>3.14</v>
      </c>
      <c r="F30" s="1">
        <v>29</v>
      </c>
      <c r="G30" s="1">
        <f t="shared" si="13"/>
        <v>2640.7400000000002</v>
      </c>
      <c r="H30" s="1">
        <f t="shared" si="14"/>
        <v>182.12</v>
      </c>
      <c r="I30" s="1">
        <f t="shared" si="2"/>
        <v>344.82758620689657</v>
      </c>
      <c r="J30" s="1">
        <f t="shared" si="15"/>
        <v>1.8934086657527813</v>
      </c>
      <c r="K30" s="1">
        <f t="shared" si="4"/>
        <v>5000</v>
      </c>
      <c r="L30" s="1">
        <f t="shared" si="16"/>
        <v>2.5132741228718346E-2</v>
      </c>
      <c r="M30" s="3">
        <f t="shared" si="17"/>
        <v>42.276972741228718</v>
      </c>
      <c r="N30" s="9">
        <f t="shared" si="18"/>
        <v>0.11341995993547263</v>
      </c>
      <c r="O30" s="17">
        <f t="shared" si="19"/>
        <v>4.0000000000000001E-3</v>
      </c>
      <c r="P30" s="17">
        <f t="shared" si="20"/>
        <v>4.0000000000000001E-3</v>
      </c>
      <c r="Q30" s="17">
        <f t="shared" si="21"/>
        <v>8.0000000000000002E-3</v>
      </c>
      <c r="R30" s="10">
        <f t="shared" si="22"/>
        <v>333.98808465570687</v>
      </c>
      <c r="S30" s="19">
        <f t="shared" si="23"/>
        <v>17701368.486752465</v>
      </c>
    </row>
    <row r="31" spans="2:19" x14ac:dyDescent="0.3">
      <c r="E31" s="1">
        <v>3.14</v>
      </c>
      <c r="F31" s="1">
        <v>30</v>
      </c>
      <c r="G31" s="1">
        <f t="shared" si="13"/>
        <v>2826</v>
      </c>
      <c r="H31" s="1">
        <f t="shared" si="14"/>
        <v>188.4</v>
      </c>
      <c r="I31" s="1">
        <f t="shared" si="2"/>
        <v>333.33333333333331</v>
      </c>
      <c r="J31" s="1">
        <f t="shared" si="15"/>
        <v>1.7692852087756545</v>
      </c>
      <c r="K31" s="1">
        <f t="shared" si="4"/>
        <v>5000</v>
      </c>
      <c r="L31" s="1">
        <f t="shared" si="16"/>
        <v>2.5132741228718346E-2</v>
      </c>
      <c r="M31" s="3">
        <f t="shared" si="17"/>
        <v>45.241132741228718</v>
      </c>
      <c r="N31" s="9">
        <f t="shared" si="18"/>
        <v>0.11254020700636944</v>
      </c>
      <c r="O31" s="17">
        <f t="shared" si="19"/>
        <v>4.0000000000000001E-3</v>
      </c>
      <c r="P31" s="17">
        <f t="shared" si="20"/>
        <v>4.0000000000000001E-3</v>
      </c>
      <c r="Q31" s="17">
        <f t="shared" si="21"/>
        <v>8.0000000000000002E-3</v>
      </c>
      <c r="R31" s="10">
        <f t="shared" si="22"/>
        <v>357.4049486557069</v>
      </c>
      <c r="S31" s="19">
        <f t="shared" si="23"/>
        <v>18942462.278752465</v>
      </c>
    </row>
    <row r="32" spans="2:19" x14ac:dyDescent="0.3">
      <c r="E32" s="1">
        <v>3.14</v>
      </c>
      <c r="F32" s="1">
        <v>31</v>
      </c>
      <c r="G32" s="1">
        <f t="shared" si="13"/>
        <v>3017.54</v>
      </c>
      <c r="H32" s="1">
        <f t="shared" si="14"/>
        <v>194.68</v>
      </c>
      <c r="I32" s="1">
        <f t="shared" si="2"/>
        <v>322.58064516129031</v>
      </c>
      <c r="J32" s="1">
        <f t="shared" si="15"/>
        <v>1.6569788635776161</v>
      </c>
      <c r="K32" s="1">
        <f t="shared" si="4"/>
        <v>5000</v>
      </c>
      <c r="L32" s="1">
        <f t="shared" si="16"/>
        <v>2.5132741228718346E-2</v>
      </c>
      <c r="M32" s="3">
        <f t="shared" si="17"/>
        <v>48.305772741228715</v>
      </c>
      <c r="N32" s="9">
        <f t="shared" si="18"/>
        <v>0.11174421051585066</v>
      </c>
      <c r="O32" s="17">
        <f t="shared" si="19"/>
        <v>4.0000000000000001E-3</v>
      </c>
      <c r="P32" s="17">
        <f t="shared" si="20"/>
        <v>4.0000000000000001E-3</v>
      </c>
      <c r="Q32" s="17">
        <f t="shared" si="21"/>
        <v>8.0000000000000002E-3</v>
      </c>
      <c r="R32" s="10">
        <f t="shared" si="22"/>
        <v>381.61560465570687</v>
      </c>
      <c r="S32" s="19">
        <f t="shared" si="23"/>
        <v>20225627.046752464</v>
      </c>
    </row>
    <row r="33" spans="5:19" x14ac:dyDescent="0.3">
      <c r="E33" s="1">
        <v>3.14</v>
      </c>
      <c r="F33" s="1">
        <v>32</v>
      </c>
      <c r="G33" s="1">
        <f t="shared" si="13"/>
        <v>3215.36</v>
      </c>
      <c r="H33" s="1">
        <f t="shared" si="14"/>
        <v>200.96</v>
      </c>
      <c r="I33" s="1">
        <f t="shared" si="2"/>
        <v>312.5</v>
      </c>
      <c r="J33" s="1">
        <f t="shared" si="15"/>
        <v>1.5550358280254777</v>
      </c>
      <c r="K33" s="1">
        <f t="shared" si="4"/>
        <v>5000</v>
      </c>
      <c r="L33" s="1">
        <f t="shared" si="16"/>
        <v>2.5132741228718346E-2</v>
      </c>
      <c r="M33" s="3">
        <f t="shared" si="17"/>
        <v>51.470892741228717</v>
      </c>
      <c r="N33" s="9">
        <f t="shared" si="18"/>
        <v>0.11102166631419189</v>
      </c>
      <c r="O33" s="17">
        <f t="shared" si="19"/>
        <v>4.0000000000000001E-3</v>
      </c>
      <c r="P33" s="17">
        <f t="shared" si="20"/>
        <v>4.0000000000000001E-3</v>
      </c>
      <c r="Q33" s="17">
        <f t="shared" si="21"/>
        <v>8.0000000000000002E-3</v>
      </c>
      <c r="R33" s="10">
        <f t="shared" si="22"/>
        <v>406.6200526557069</v>
      </c>
      <c r="S33" s="19">
        <f t="shared" si="23"/>
        <v>21550862.790752467</v>
      </c>
    </row>
    <row r="34" spans="5:19" x14ac:dyDescent="0.3">
      <c r="E34" s="1">
        <v>3.14</v>
      </c>
      <c r="F34" s="1">
        <v>33</v>
      </c>
      <c r="G34" s="1">
        <f t="shared" si="13"/>
        <v>3419.46</v>
      </c>
      <c r="H34" s="1">
        <f t="shared" si="14"/>
        <v>207.24</v>
      </c>
      <c r="I34" s="1">
        <f t="shared" si="2"/>
        <v>303.030303030303</v>
      </c>
      <c r="J34" s="1">
        <f t="shared" si="15"/>
        <v>1.4622191808063261</v>
      </c>
      <c r="K34" s="1">
        <f t="shared" si="4"/>
        <v>5000</v>
      </c>
      <c r="L34" s="1">
        <f t="shared" si="16"/>
        <v>2.5132741228718346E-2</v>
      </c>
      <c r="M34" s="3">
        <f t="shared" si="17"/>
        <v>54.736492741228716</v>
      </c>
      <c r="N34" s="9">
        <f t="shared" si="18"/>
        <v>0.11036380744328053</v>
      </c>
      <c r="O34" s="17">
        <f t="shared" si="19"/>
        <v>4.0000000000000001E-3</v>
      </c>
      <c r="P34" s="17">
        <f t="shared" si="20"/>
        <v>4.0000000000000001E-3</v>
      </c>
      <c r="Q34" s="17">
        <f t="shared" si="21"/>
        <v>8.0000000000000002E-3</v>
      </c>
      <c r="R34" s="10">
        <f t="shared" si="22"/>
        <v>432.41829265570686</v>
      </c>
      <c r="S34" s="19">
        <f t="shared" si="23"/>
        <v>22918169.510752466</v>
      </c>
    </row>
    <row r="35" spans="5:19" x14ac:dyDescent="0.3">
      <c r="E35" s="1">
        <v>3.14</v>
      </c>
      <c r="F35" s="1">
        <v>34</v>
      </c>
      <c r="G35" s="1">
        <f t="shared" si="13"/>
        <v>3629.84</v>
      </c>
      <c r="H35" s="1">
        <f t="shared" si="14"/>
        <v>213.52</v>
      </c>
      <c r="I35" s="1">
        <f t="shared" si="2"/>
        <v>294.11764705882354</v>
      </c>
      <c r="J35" s="1">
        <f t="shared" si="15"/>
        <v>1.3774711833028452</v>
      </c>
      <c r="K35" s="1">
        <f t="shared" si="4"/>
        <v>5000</v>
      </c>
      <c r="L35" s="1">
        <f t="shared" si="16"/>
        <v>2.5132741228718346E-2</v>
      </c>
      <c r="M35" s="3">
        <f t="shared" si="17"/>
        <v>58.10257274122872</v>
      </c>
      <c r="N35" s="9">
        <f t="shared" si="18"/>
        <v>0.10976313694267517</v>
      </c>
      <c r="O35" s="17">
        <f t="shared" si="19"/>
        <v>4.0000000000000001E-3</v>
      </c>
      <c r="P35" s="17">
        <f t="shared" si="20"/>
        <v>4.0000000000000001E-3</v>
      </c>
      <c r="Q35" s="17">
        <f t="shared" si="21"/>
        <v>8.0000000000000002E-3</v>
      </c>
      <c r="R35" s="10">
        <f t="shared" si="22"/>
        <v>459.01032465570688</v>
      </c>
      <c r="S35" s="19">
        <f t="shared" si="23"/>
        <v>24327547.206752464</v>
      </c>
    </row>
    <row r="36" spans="5:19" x14ac:dyDescent="0.3">
      <c r="E36" s="1">
        <v>3.14</v>
      </c>
      <c r="F36" s="1">
        <v>35</v>
      </c>
      <c r="G36" s="1">
        <f t="shared" si="13"/>
        <v>3846.5</v>
      </c>
      <c r="H36" s="1">
        <f t="shared" si="14"/>
        <v>219.8</v>
      </c>
      <c r="I36" s="1">
        <f t="shared" si="2"/>
        <v>285.71428571428572</v>
      </c>
      <c r="J36" s="1">
        <f t="shared" si="15"/>
        <v>1.2998830105290524</v>
      </c>
      <c r="K36" s="1">
        <f t="shared" si="4"/>
        <v>5000</v>
      </c>
      <c r="L36" s="1">
        <f t="shared" si="16"/>
        <v>2.5132741228718346E-2</v>
      </c>
      <c r="M36" s="3">
        <f t="shared" si="17"/>
        <v>61.569132741228721</v>
      </c>
      <c r="N36" s="9">
        <f t="shared" si="18"/>
        <v>0.10921321331080204</v>
      </c>
      <c r="O36" s="17">
        <f t="shared" si="19"/>
        <v>4.0000000000000001E-3</v>
      </c>
      <c r="P36" s="17">
        <f t="shared" si="20"/>
        <v>4.0000000000000001E-3</v>
      </c>
      <c r="Q36" s="17">
        <f t="shared" si="21"/>
        <v>8.0000000000000002E-3</v>
      </c>
      <c r="R36" s="10">
        <f t="shared" si="22"/>
        <v>486.3961486557069</v>
      </c>
      <c r="S36" s="19">
        <f t="shared" si="23"/>
        <v>25778995.878752466</v>
      </c>
    </row>
    <row r="37" spans="5:19" x14ac:dyDescent="0.3">
      <c r="E37" s="1">
        <v>3.14</v>
      </c>
      <c r="F37" s="1">
        <v>36</v>
      </c>
      <c r="G37" s="1">
        <f t="shared" si="13"/>
        <v>4069.44</v>
      </c>
      <c r="H37" s="1">
        <f t="shared" si="14"/>
        <v>226.08</v>
      </c>
      <c r="I37" s="1">
        <f t="shared" si="2"/>
        <v>277.77777777777777</v>
      </c>
      <c r="J37" s="1">
        <f t="shared" si="15"/>
        <v>1.2286702838719823</v>
      </c>
      <c r="K37" s="1">
        <f t="shared" si="4"/>
        <v>5000</v>
      </c>
      <c r="L37" s="1">
        <f t="shared" si="16"/>
        <v>2.5132741228718346E-2</v>
      </c>
      <c r="M37" s="3">
        <f t="shared" si="17"/>
        <v>65.136172741228719</v>
      </c>
      <c r="N37" s="9">
        <f t="shared" si="18"/>
        <v>0.10870847708775655</v>
      </c>
      <c r="O37" s="17">
        <f t="shared" si="19"/>
        <v>4.0000000000000001E-3</v>
      </c>
      <c r="P37" s="17">
        <f t="shared" si="20"/>
        <v>4.0000000000000001E-3</v>
      </c>
      <c r="Q37" s="17">
        <f t="shared" si="21"/>
        <v>8.0000000000000002E-3</v>
      </c>
      <c r="R37" s="10">
        <f t="shared" si="22"/>
        <v>514.57576465570685</v>
      </c>
      <c r="S37" s="19">
        <f t="shared" si="23"/>
        <v>27272515.526752464</v>
      </c>
    </row>
    <row r="38" spans="5:19" x14ac:dyDescent="0.3">
      <c r="E38" s="1">
        <v>3.14</v>
      </c>
      <c r="F38" s="1">
        <v>37</v>
      </c>
      <c r="G38" s="1">
        <f t="shared" si="13"/>
        <v>4298.66</v>
      </c>
      <c r="H38" s="1">
        <f t="shared" si="14"/>
        <v>232.36</v>
      </c>
      <c r="I38" s="1">
        <f t="shared" si="2"/>
        <v>270.27027027027032</v>
      </c>
      <c r="J38" s="1">
        <f t="shared" si="15"/>
        <v>1.1631531686618621</v>
      </c>
      <c r="K38" s="1">
        <f t="shared" si="4"/>
        <v>5000</v>
      </c>
      <c r="L38" s="1">
        <f t="shared" si="16"/>
        <v>2.5132741228718346E-2</v>
      </c>
      <c r="M38" s="3">
        <f t="shared" si="17"/>
        <v>68.803692741228716</v>
      </c>
      <c r="N38" s="9">
        <f t="shared" si="18"/>
        <v>0.10824410979235391</v>
      </c>
      <c r="O38" s="17">
        <f t="shared" si="19"/>
        <v>4.0000000000000001E-3</v>
      </c>
      <c r="P38" s="17">
        <f t="shared" si="20"/>
        <v>4.0000000000000001E-3</v>
      </c>
      <c r="Q38" s="17">
        <f t="shared" si="21"/>
        <v>8.0000000000000002E-3</v>
      </c>
      <c r="R38" s="10">
        <f t="shared" si="22"/>
        <v>543.54917265570691</v>
      </c>
      <c r="S38" s="19">
        <f t="shared" si="23"/>
        <v>28808106.150752466</v>
      </c>
    </row>
    <row r="39" spans="5:19" x14ac:dyDescent="0.3">
      <c r="E39" s="1">
        <v>3.14</v>
      </c>
      <c r="F39" s="1">
        <v>38</v>
      </c>
      <c r="G39" s="1">
        <f t="shared" si="13"/>
        <v>4534.16</v>
      </c>
      <c r="H39" s="1">
        <f t="shared" si="14"/>
        <v>238.64000000000001</v>
      </c>
      <c r="I39" s="1">
        <f t="shared" si="2"/>
        <v>263.15789473684214</v>
      </c>
      <c r="J39" s="1">
        <f t="shared" si="15"/>
        <v>1.1027400885720839</v>
      </c>
      <c r="K39" s="1">
        <f t="shared" si="4"/>
        <v>5000</v>
      </c>
      <c r="L39" s="1">
        <f t="shared" si="16"/>
        <v>2.5132741228718346E-2</v>
      </c>
      <c r="M39" s="3">
        <f t="shared" si="17"/>
        <v>72.571692741228716</v>
      </c>
      <c r="N39" s="9">
        <f t="shared" si="18"/>
        <v>0.10781591849427458</v>
      </c>
      <c r="O39" s="17">
        <f t="shared" si="19"/>
        <v>4.0000000000000001E-3</v>
      </c>
      <c r="P39" s="17">
        <f t="shared" si="20"/>
        <v>4.0000000000000001E-3</v>
      </c>
      <c r="Q39" s="17">
        <f t="shared" si="21"/>
        <v>8.0000000000000002E-3</v>
      </c>
      <c r="R39" s="10">
        <f t="shared" si="22"/>
        <v>573.3163726557068</v>
      </c>
      <c r="S39" s="19">
        <f t="shared" si="23"/>
        <v>30385767.75075246</v>
      </c>
    </row>
    <row r="40" spans="5:19" x14ac:dyDescent="0.3">
      <c r="E40" s="1">
        <v>3.14</v>
      </c>
      <c r="F40" s="1">
        <v>39</v>
      </c>
      <c r="G40" s="1">
        <f t="shared" si="13"/>
        <v>4775.9400000000005</v>
      </c>
      <c r="H40" s="1">
        <f t="shared" si="14"/>
        <v>244.92000000000002</v>
      </c>
      <c r="I40" s="1">
        <f t="shared" si="2"/>
        <v>256.41025641025641</v>
      </c>
      <c r="J40" s="1">
        <f t="shared" si="15"/>
        <v>1.0469143247193222</v>
      </c>
      <c r="K40" s="1">
        <f t="shared" si="4"/>
        <v>5000</v>
      </c>
      <c r="L40" s="1">
        <f t="shared" si="16"/>
        <v>2.5132741228718346E-2</v>
      </c>
      <c r="M40" s="3">
        <f t="shared" si="17"/>
        <v>76.440172741228722</v>
      </c>
      <c r="N40" s="9">
        <f t="shared" si="18"/>
        <v>0.10742024083217126</v>
      </c>
      <c r="O40" s="17">
        <f t="shared" si="19"/>
        <v>4.0000000000000001E-3</v>
      </c>
      <c r="P40" s="17">
        <f t="shared" si="20"/>
        <v>4.0000000000000001E-3</v>
      </c>
      <c r="Q40" s="17">
        <f t="shared" si="21"/>
        <v>8.0000000000000002E-3</v>
      </c>
      <c r="R40" s="10">
        <f t="shared" si="22"/>
        <v>603.87736465570697</v>
      </c>
      <c r="S40" s="19">
        <f t="shared" si="23"/>
        <v>32005500.326752469</v>
      </c>
    </row>
    <row r="41" spans="5:19" x14ac:dyDescent="0.3">
      <c r="E41" s="1">
        <v>3.14</v>
      </c>
      <c r="F41" s="1">
        <v>40</v>
      </c>
      <c r="G41" s="1">
        <f t="shared" si="13"/>
        <v>5024</v>
      </c>
      <c r="H41" s="1">
        <f t="shared" si="14"/>
        <v>251.20000000000002</v>
      </c>
      <c r="I41" s="1">
        <f t="shared" si="2"/>
        <v>250</v>
      </c>
      <c r="J41" s="1">
        <f t="shared" si="15"/>
        <v>0.99522292993630568</v>
      </c>
      <c r="K41" s="1">
        <f t="shared" si="4"/>
        <v>5000</v>
      </c>
      <c r="L41" s="1">
        <f t="shared" si="16"/>
        <v>2.5132741228718346E-2</v>
      </c>
      <c r="M41" s="3">
        <f t="shared" si="17"/>
        <v>80.409132741228717</v>
      </c>
      <c r="N41" s="9">
        <f t="shared" si="18"/>
        <v>0.10705386644108281</v>
      </c>
      <c r="O41" s="17">
        <f t="shared" si="19"/>
        <v>4.0000000000000001E-3</v>
      </c>
      <c r="P41" s="17">
        <f t="shared" si="20"/>
        <v>4.0000000000000001E-3</v>
      </c>
      <c r="Q41" s="17">
        <f t="shared" si="21"/>
        <v>8.0000000000000002E-3</v>
      </c>
      <c r="R41" s="10">
        <f t="shared" si="22"/>
        <v>635.23214865570696</v>
      </c>
      <c r="S41" s="19">
        <f t="shared" si="23"/>
        <v>33667303.87875247</v>
      </c>
    </row>
    <row r="42" spans="5:19" x14ac:dyDescent="0.3">
      <c r="E42" s="1">
        <v>3.14</v>
      </c>
      <c r="F42" s="1">
        <v>41</v>
      </c>
      <c r="G42" s="1">
        <f t="shared" si="13"/>
        <v>5278.34</v>
      </c>
      <c r="H42" s="1">
        <f t="shared" si="14"/>
        <v>257.48</v>
      </c>
      <c r="I42" s="1">
        <f t="shared" si="2"/>
        <v>243.90243902439025</v>
      </c>
      <c r="J42" s="1">
        <f t="shared" si="15"/>
        <v>0.94726751213449678</v>
      </c>
      <c r="K42" s="1">
        <f t="shared" si="4"/>
        <v>5000</v>
      </c>
      <c r="L42" s="1">
        <f t="shared" si="16"/>
        <v>2.5132741228718346E-2</v>
      </c>
      <c r="M42" s="3">
        <f t="shared" si="17"/>
        <v>84.478572741228717</v>
      </c>
      <c r="N42" s="9">
        <f t="shared" si="18"/>
        <v>0.10671397162744348</v>
      </c>
      <c r="O42" s="17">
        <f t="shared" si="19"/>
        <v>4.0000000000000001E-3</v>
      </c>
      <c r="P42" s="17">
        <f t="shared" si="20"/>
        <v>4.0000000000000001E-3</v>
      </c>
      <c r="Q42" s="17">
        <f t="shared" si="21"/>
        <v>8.0000000000000002E-3</v>
      </c>
      <c r="R42" s="10">
        <f t="shared" si="22"/>
        <v>667.3807246557069</v>
      </c>
      <c r="S42" s="19">
        <f t="shared" si="23"/>
        <v>35371178.406752467</v>
      </c>
    </row>
    <row r="43" spans="5:19" x14ac:dyDescent="0.3">
      <c r="E43" s="1">
        <v>3.14</v>
      </c>
      <c r="F43" s="1">
        <v>42</v>
      </c>
      <c r="G43" s="1">
        <f t="shared" si="13"/>
        <v>5538.96</v>
      </c>
      <c r="H43" s="1">
        <f t="shared" si="14"/>
        <v>263.76</v>
      </c>
      <c r="I43" s="1">
        <f t="shared" si="2"/>
        <v>238.09523809523807</v>
      </c>
      <c r="J43" s="1">
        <f t="shared" si="15"/>
        <v>0.90269653508961967</v>
      </c>
      <c r="K43" s="1">
        <f t="shared" si="4"/>
        <v>5000</v>
      </c>
      <c r="L43" s="1">
        <f t="shared" si="16"/>
        <v>2.5132741228718346E-2</v>
      </c>
      <c r="M43" s="3">
        <f t="shared" si="17"/>
        <v>88.648492741228722</v>
      </c>
      <c r="N43" s="9">
        <f t="shared" si="18"/>
        <v>0.10639806479916808</v>
      </c>
      <c r="O43" s="17">
        <f t="shared" si="19"/>
        <v>4.0000000000000001E-3</v>
      </c>
      <c r="P43" s="17">
        <f t="shared" si="20"/>
        <v>4.0000000000000001E-3</v>
      </c>
      <c r="Q43" s="17">
        <f t="shared" si="21"/>
        <v>8.0000000000000002E-3</v>
      </c>
      <c r="R43" s="10">
        <f t="shared" si="22"/>
        <v>700.32309265570689</v>
      </c>
      <c r="S43" s="19">
        <f t="shared" si="23"/>
        <v>37117123.910752468</v>
      </c>
    </row>
    <row r="44" spans="5:19" x14ac:dyDescent="0.3">
      <c r="E44" s="1">
        <v>3.14</v>
      </c>
      <c r="F44" s="1">
        <v>43</v>
      </c>
      <c r="G44" s="1">
        <f t="shared" si="13"/>
        <v>5805.8600000000006</v>
      </c>
      <c r="H44" s="1">
        <f t="shared" si="14"/>
        <v>270.04000000000002</v>
      </c>
      <c r="I44" s="1">
        <f t="shared" si="2"/>
        <v>232.55813953488371</v>
      </c>
      <c r="J44" s="1">
        <f t="shared" si="15"/>
        <v>0.86119885770583504</v>
      </c>
      <c r="K44" s="1">
        <f t="shared" si="4"/>
        <v>5000</v>
      </c>
      <c r="L44" s="1">
        <f t="shared" si="16"/>
        <v>2.5132741228718346E-2</v>
      </c>
      <c r="M44" s="3">
        <f t="shared" si="17"/>
        <v>92.918892741228731</v>
      </c>
      <c r="N44" s="9">
        <f t="shared" si="18"/>
        <v>0.10610394067373309</v>
      </c>
      <c r="O44" s="17">
        <f t="shared" si="19"/>
        <v>4.0000000000000001E-3</v>
      </c>
      <c r="P44" s="17">
        <f t="shared" si="20"/>
        <v>4.0000000000000001E-3</v>
      </c>
      <c r="Q44" s="17">
        <f t="shared" si="21"/>
        <v>8.0000000000000002E-3</v>
      </c>
      <c r="R44" s="10">
        <f t="shared" si="22"/>
        <v>734.05925265570693</v>
      </c>
      <c r="S44" s="19">
        <f t="shared" si="23"/>
        <v>38905140.390752465</v>
      </c>
    </row>
    <row r="45" spans="5:19" x14ac:dyDescent="0.3">
      <c r="E45" s="1">
        <v>3.14</v>
      </c>
      <c r="F45" s="1">
        <v>44</v>
      </c>
      <c r="G45" s="1">
        <f t="shared" si="13"/>
        <v>6079.04</v>
      </c>
      <c r="H45" s="1">
        <f t="shared" si="14"/>
        <v>276.32</v>
      </c>
      <c r="I45" s="1">
        <f t="shared" si="2"/>
        <v>227.27272727272728</v>
      </c>
      <c r="J45" s="1">
        <f t="shared" si="15"/>
        <v>0.8224982892035585</v>
      </c>
      <c r="K45" s="1">
        <f t="shared" si="4"/>
        <v>5000</v>
      </c>
      <c r="L45" s="1">
        <f t="shared" si="16"/>
        <v>2.5132741228718346E-2</v>
      </c>
      <c r="M45" s="3">
        <f t="shared" si="17"/>
        <v>97.289772741228717</v>
      </c>
      <c r="N45" s="9">
        <f t="shared" si="18"/>
        <v>0.10582964168684529</v>
      </c>
      <c r="O45" s="17">
        <f t="shared" si="19"/>
        <v>4.0000000000000001E-3</v>
      </c>
      <c r="P45" s="17">
        <f t="shared" si="20"/>
        <v>4.0000000000000001E-3</v>
      </c>
      <c r="Q45" s="17">
        <f t="shared" si="21"/>
        <v>8.0000000000000002E-3</v>
      </c>
      <c r="R45" s="10">
        <f t="shared" si="22"/>
        <v>768.58920465570691</v>
      </c>
      <c r="S45" s="19">
        <f t="shared" si="23"/>
        <v>40735227.846752465</v>
      </c>
    </row>
    <row r="46" spans="5:19" x14ac:dyDescent="0.3">
      <c r="E46" s="1">
        <v>3.14</v>
      </c>
      <c r="F46" s="1">
        <v>45</v>
      </c>
      <c r="G46" s="1">
        <f t="shared" si="13"/>
        <v>6358.5</v>
      </c>
      <c r="H46" s="1">
        <f t="shared" si="14"/>
        <v>282.60000000000002</v>
      </c>
      <c r="I46" s="1">
        <f t="shared" si="2"/>
        <v>222.22222222222226</v>
      </c>
      <c r="J46" s="1">
        <f t="shared" si="15"/>
        <v>0.78634898167806877</v>
      </c>
      <c r="K46" s="1">
        <f t="shared" si="4"/>
        <v>5000</v>
      </c>
      <c r="L46" s="1">
        <f t="shared" si="16"/>
        <v>2.5132741228718346E-2</v>
      </c>
      <c r="M46" s="3">
        <f t="shared" si="17"/>
        <v>101.76113274122872</v>
      </c>
      <c r="N46" s="9">
        <f t="shared" si="18"/>
        <v>0.10557342533616419</v>
      </c>
      <c r="O46" s="17">
        <f t="shared" si="19"/>
        <v>4.0000000000000001E-3</v>
      </c>
      <c r="P46" s="17">
        <f t="shared" si="20"/>
        <v>4.0000000000000001E-3</v>
      </c>
      <c r="Q46" s="17">
        <f t="shared" si="21"/>
        <v>8.0000000000000002E-3</v>
      </c>
      <c r="R46" s="10">
        <f t="shared" si="22"/>
        <v>803.91294865570694</v>
      </c>
      <c r="S46" s="19">
        <f t="shared" si="23"/>
        <v>42607386.278752469</v>
      </c>
    </row>
    <row r="47" spans="5:19" x14ac:dyDescent="0.3">
      <c r="E47" s="1">
        <v>3.14</v>
      </c>
      <c r="F47" s="1">
        <v>46</v>
      </c>
      <c r="G47" s="1">
        <f t="shared" si="13"/>
        <v>6644.2400000000007</v>
      </c>
      <c r="H47" s="1">
        <f t="shared" si="14"/>
        <v>288.88</v>
      </c>
      <c r="I47" s="1">
        <f t="shared" si="2"/>
        <v>217.39130434782606</v>
      </c>
      <c r="J47" s="1">
        <f t="shared" si="15"/>
        <v>0.75253151601989088</v>
      </c>
      <c r="K47" s="1">
        <f t="shared" si="4"/>
        <v>5000</v>
      </c>
      <c r="L47" s="1">
        <f t="shared" si="16"/>
        <v>2.5132741228718346E-2</v>
      </c>
      <c r="M47" s="3">
        <f t="shared" si="17"/>
        <v>106.33297274122873</v>
      </c>
      <c r="N47" s="9">
        <f t="shared" si="18"/>
        <v>0.10533373643938208</v>
      </c>
      <c r="O47" s="17">
        <f t="shared" si="19"/>
        <v>4.0000000000000001E-3</v>
      </c>
      <c r="P47" s="17">
        <f t="shared" si="20"/>
        <v>4.0000000000000001E-3</v>
      </c>
      <c r="Q47" s="17">
        <f t="shared" si="21"/>
        <v>8.0000000000000002E-3</v>
      </c>
      <c r="R47" s="10">
        <f t="shared" si="22"/>
        <v>840.03048465570691</v>
      </c>
      <c r="S47" s="19">
        <f t="shared" si="23"/>
        <v>44521615.686752468</v>
      </c>
    </row>
    <row r="48" spans="5:19" x14ac:dyDescent="0.3">
      <c r="E48" s="1">
        <v>3.14</v>
      </c>
      <c r="F48" s="1">
        <v>47</v>
      </c>
      <c r="G48" s="1">
        <f t="shared" si="13"/>
        <v>6936.26</v>
      </c>
      <c r="H48" s="1">
        <f t="shared" si="14"/>
        <v>295.16000000000003</v>
      </c>
      <c r="I48" s="1">
        <f t="shared" si="2"/>
        <v>212.76595744680853</v>
      </c>
      <c r="J48" s="1">
        <f t="shared" si="15"/>
        <v>0.7208495644626931</v>
      </c>
      <c r="K48" s="1">
        <f t="shared" si="4"/>
        <v>5000</v>
      </c>
      <c r="L48" s="1">
        <f t="shared" si="16"/>
        <v>2.5132741228718346E-2</v>
      </c>
      <c r="M48" s="3">
        <f t="shared" si="17"/>
        <v>111.00529274122873</v>
      </c>
      <c r="N48" s="9">
        <f t="shared" si="18"/>
        <v>0.10510918347928135</v>
      </c>
      <c r="O48" s="17">
        <f t="shared" si="19"/>
        <v>4.0000000000000001E-3</v>
      </c>
      <c r="P48" s="17">
        <f t="shared" si="20"/>
        <v>4.0000000000000001E-3</v>
      </c>
      <c r="Q48" s="17">
        <f t="shared" si="21"/>
        <v>8.0000000000000002E-3</v>
      </c>
      <c r="R48" s="10">
        <f t="shared" si="22"/>
        <v>876.94181265570705</v>
      </c>
      <c r="S48" s="19">
        <f t="shared" si="23"/>
        <v>46477916.070752472</v>
      </c>
    </row>
    <row r="49" spans="5:19" x14ac:dyDescent="0.3">
      <c r="E49" s="1">
        <v>3.14</v>
      </c>
      <c r="F49" s="1">
        <v>48</v>
      </c>
      <c r="G49" s="1">
        <f t="shared" si="13"/>
        <v>7234.56</v>
      </c>
      <c r="H49" s="1">
        <f t="shared" si="14"/>
        <v>301.44</v>
      </c>
      <c r="I49" s="1">
        <f t="shared" si="2"/>
        <v>208.33333333333334</v>
      </c>
      <c r="J49" s="1">
        <f t="shared" si="15"/>
        <v>0.69112703467799008</v>
      </c>
      <c r="K49" s="1">
        <f t="shared" si="4"/>
        <v>5000</v>
      </c>
      <c r="L49" s="1">
        <f t="shared" si="16"/>
        <v>2.5132741228718346E-2</v>
      </c>
      <c r="M49" s="3">
        <f t="shared" si="17"/>
        <v>115.77809274122873</v>
      </c>
      <c r="N49" s="9">
        <f t="shared" si="18"/>
        <v>0.10489851836186306</v>
      </c>
      <c r="O49" s="17">
        <f t="shared" si="19"/>
        <v>4.0000000000000001E-3</v>
      </c>
      <c r="P49" s="17">
        <f t="shared" si="20"/>
        <v>4.0000000000000001E-3</v>
      </c>
      <c r="Q49" s="17">
        <f t="shared" si="21"/>
        <v>8.0000000000000002E-3</v>
      </c>
      <c r="R49" s="10">
        <f t="shared" si="22"/>
        <v>914.64693265570702</v>
      </c>
      <c r="S49" s="19">
        <f t="shared" si="23"/>
        <v>48476287.430752471</v>
      </c>
    </row>
    <row r="50" spans="5:19" x14ac:dyDescent="0.3">
      <c r="E50" s="1">
        <v>3.14</v>
      </c>
      <c r="F50" s="1">
        <v>49</v>
      </c>
      <c r="G50" s="1">
        <f t="shared" si="13"/>
        <v>7539.14</v>
      </c>
      <c r="H50" s="1">
        <f t="shared" si="14"/>
        <v>307.72000000000003</v>
      </c>
      <c r="I50" s="1">
        <f t="shared" si="2"/>
        <v>204.08163265306123</v>
      </c>
      <c r="J50" s="1">
        <f t="shared" si="15"/>
        <v>0.66320561761686347</v>
      </c>
      <c r="K50" s="1">
        <f t="shared" si="4"/>
        <v>5000</v>
      </c>
      <c r="L50" s="1">
        <f t="shared" si="16"/>
        <v>2.5132741228718346E-2</v>
      </c>
      <c r="M50" s="3">
        <f t="shared" si="17"/>
        <v>120.65137274122873</v>
      </c>
      <c r="N50" s="9">
        <f t="shared" si="18"/>
        <v>0.10470061903612349</v>
      </c>
      <c r="O50" s="17">
        <f t="shared" si="19"/>
        <v>4.0000000000000001E-3</v>
      </c>
      <c r="P50" s="17">
        <f t="shared" si="20"/>
        <v>4.0000000000000001E-3</v>
      </c>
      <c r="Q50" s="17">
        <f t="shared" si="21"/>
        <v>8.0000000000000002E-3</v>
      </c>
      <c r="R50" s="10">
        <f t="shared" si="22"/>
        <v>953.14584465570692</v>
      </c>
      <c r="S50" s="19">
        <f t="shared" si="23"/>
        <v>50516729.766752467</v>
      </c>
    </row>
    <row r="51" spans="5:19" x14ac:dyDescent="0.3">
      <c r="E51" s="1">
        <v>3.14</v>
      </c>
      <c r="F51" s="1">
        <v>50</v>
      </c>
      <c r="G51" s="1">
        <f t="shared" si="13"/>
        <v>7850</v>
      </c>
      <c r="H51" s="1">
        <f t="shared" si="14"/>
        <v>314</v>
      </c>
      <c r="I51" s="1">
        <f t="shared" si="2"/>
        <v>200</v>
      </c>
      <c r="J51" s="1">
        <f t="shared" si="15"/>
        <v>0.63694267515923564</v>
      </c>
      <c r="K51" s="1">
        <f t="shared" si="4"/>
        <v>5000</v>
      </c>
      <c r="L51" s="1">
        <f t="shared" si="16"/>
        <v>2.5132741228718346E-2</v>
      </c>
      <c r="M51" s="3">
        <f t="shared" si="17"/>
        <v>125.62513274122873</v>
      </c>
      <c r="N51" s="9">
        <f t="shared" si="18"/>
        <v>0.104514474522293</v>
      </c>
      <c r="O51" s="17">
        <f t="shared" si="19"/>
        <v>4.0000000000000001E-3</v>
      </c>
      <c r="P51" s="17">
        <f t="shared" si="20"/>
        <v>4.0000000000000001E-3</v>
      </c>
      <c r="Q51" s="17">
        <f t="shared" si="21"/>
        <v>8.0000000000000002E-3</v>
      </c>
      <c r="R51" s="10">
        <f t="shared" si="22"/>
        <v>992.438548655707</v>
      </c>
      <c r="S51" s="19">
        <f t="shared" si="23"/>
        <v>52599243.078752473</v>
      </c>
    </row>
    <row r="52" spans="5:19" x14ac:dyDescent="0.3">
      <c r="E52" s="1">
        <v>3.14</v>
      </c>
      <c r="F52" s="1">
        <v>51</v>
      </c>
      <c r="G52" s="1">
        <f t="shared" si="13"/>
        <v>8167.14</v>
      </c>
      <c r="H52" s="1">
        <f t="shared" si="14"/>
        <v>320.28000000000003</v>
      </c>
      <c r="I52" s="1">
        <f t="shared" si="2"/>
        <v>196.07843137254903</v>
      </c>
      <c r="J52" s="1">
        <f t="shared" si="15"/>
        <v>0.61220941480126456</v>
      </c>
      <c r="K52" s="1">
        <f t="shared" si="4"/>
        <v>5000</v>
      </c>
      <c r="L52" s="1">
        <f t="shared" si="16"/>
        <v>2.5132741228718346E-2</v>
      </c>
      <c r="M52" s="3">
        <f t="shared" si="17"/>
        <v>130.69937274122873</v>
      </c>
      <c r="N52" s="9">
        <f t="shared" si="18"/>
        <v>0.1043391719745223</v>
      </c>
      <c r="O52" s="17">
        <f t="shared" si="19"/>
        <v>4.0000000000000001E-3</v>
      </c>
      <c r="P52" s="17">
        <f t="shared" si="20"/>
        <v>4.0000000000000001E-3</v>
      </c>
      <c r="Q52" s="17">
        <f t="shared" si="21"/>
        <v>8.0000000000000002E-3</v>
      </c>
      <c r="R52" s="10">
        <f t="shared" si="22"/>
        <v>1032.525044655707</v>
      </c>
      <c r="S52" s="19">
        <f t="shared" si="23"/>
        <v>54723827.366752468</v>
      </c>
    </row>
    <row r="53" spans="5:19" x14ac:dyDescent="0.3">
      <c r="E53" s="1">
        <v>3.14</v>
      </c>
      <c r="F53" s="1">
        <v>52</v>
      </c>
      <c r="G53" s="1">
        <f t="shared" si="13"/>
        <v>8490.56</v>
      </c>
      <c r="H53" s="1">
        <f t="shared" si="14"/>
        <v>326.56</v>
      </c>
      <c r="I53" s="1">
        <f t="shared" si="2"/>
        <v>192.30769230769232</v>
      </c>
      <c r="J53" s="1">
        <f t="shared" si="15"/>
        <v>0.58888930765461878</v>
      </c>
      <c r="K53" s="1">
        <f t="shared" si="4"/>
        <v>5000</v>
      </c>
      <c r="L53" s="1">
        <f t="shared" si="16"/>
        <v>2.5132741228718346E-2</v>
      </c>
      <c r="M53" s="3">
        <f t="shared" si="17"/>
        <v>135.87409274122874</v>
      </c>
      <c r="N53" s="9">
        <f t="shared" si="18"/>
        <v>0.10417388546809633</v>
      </c>
      <c r="O53" s="17">
        <f t="shared" si="19"/>
        <v>4.0000000000000001E-3</v>
      </c>
      <c r="P53" s="17">
        <f t="shared" si="20"/>
        <v>4.0000000000000001E-3</v>
      </c>
      <c r="Q53" s="17">
        <f t="shared" si="21"/>
        <v>8.0000000000000002E-3</v>
      </c>
      <c r="R53" s="10">
        <f t="shared" si="22"/>
        <v>1073.4053326557068</v>
      </c>
      <c r="S53" s="19">
        <f t="shared" si="23"/>
        <v>56890482.630752459</v>
      </c>
    </row>
    <row r="54" spans="5:19" x14ac:dyDescent="0.3">
      <c r="E54" s="1">
        <v>3.14</v>
      </c>
      <c r="F54" s="1">
        <v>53</v>
      </c>
      <c r="G54" s="1">
        <f t="shared" si="13"/>
        <v>8820.26</v>
      </c>
      <c r="H54" s="1">
        <f t="shared" si="14"/>
        <v>332.84000000000003</v>
      </c>
      <c r="I54" s="1">
        <f t="shared" si="2"/>
        <v>188.6792452830189</v>
      </c>
      <c r="J54" s="1">
        <f t="shared" si="15"/>
        <v>0.56687671338486623</v>
      </c>
      <c r="K54" s="1">
        <f t="shared" si="4"/>
        <v>5000</v>
      </c>
      <c r="L54" s="1">
        <f t="shared" si="16"/>
        <v>2.5132741228718346E-2</v>
      </c>
      <c r="M54" s="3">
        <f t="shared" si="17"/>
        <v>141.14929274122875</v>
      </c>
      <c r="N54" s="9">
        <f t="shared" si="18"/>
        <v>0.10401786625337575</v>
      </c>
      <c r="O54" s="17">
        <f t="shared" si="19"/>
        <v>4.0000000000000001E-3</v>
      </c>
      <c r="P54" s="17">
        <f t="shared" si="20"/>
        <v>4.0000000000000001E-3</v>
      </c>
      <c r="Q54" s="17">
        <f t="shared" si="21"/>
        <v>8.0000000000000002E-3</v>
      </c>
      <c r="R54" s="10">
        <f t="shared" si="22"/>
        <v>1115.0794126557073</v>
      </c>
      <c r="S54" s="19">
        <f t="shared" si="23"/>
        <v>59099208.870752484</v>
      </c>
    </row>
    <row r="55" spans="5:19" x14ac:dyDescent="0.3">
      <c r="E55" s="1">
        <v>3.14</v>
      </c>
      <c r="F55" s="1">
        <v>54</v>
      </c>
      <c r="G55" s="1">
        <f t="shared" si="13"/>
        <v>9156.24</v>
      </c>
      <c r="H55" s="1">
        <f t="shared" si="14"/>
        <v>339.12</v>
      </c>
      <c r="I55" s="1">
        <f t="shared" si="2"/>
        <v>185.18518518518519</v>
      </c>
      <c r="J55" s="1">
        <f t="shared" si="15"/>
        <v>0.54607568172088106</v>
      </c>
      <c r="K55" s="1">
        <f t="shared" si="4"/>
        <v>5000</v>
      </c>
      <c r="L55" s="1">
        <f t="shared" si="16"/>
        <v>2.5132741228718346E-2</v>
      </c>
      <c r="M55" s="3">
        <f t="shared" si="17"/>
        <v>146.52497274122874</v>
      </c>
      <c r="N55" s="9">
        <f t="shared" si="18"/>
        <v>0.10387043426122514</v>
      </c>
      <c r="O55" s="17">
        <f t="shared" si="19"/>
        <v>4.0000000000000001E-3</v>
      </c>
      <c r="P55" s="17">
        <f t="shared" si="20"/>
        <v>4.0000000000000001E-3</v>
      </c>
      <c r="Q55" s="17">
        <f t="shared" si="21"/>
        <v>8.0000000000000002E-3</v>
      </c>
      <c r="R55" s="10">
        <f t="shared" si="22"/>
        <v>1157.547284655707</v>
      </c>
      <c r="S55" s="19">
        <f t="shared" si="23"/>
        <v>61350006.086752474</v>
      </c>
    </row>
    <row r="56" spans="5:19" x14ac:dyDescent="0.3">
      <c r="E56" s="1">
        <v>3.14</v>
      </c>
      <c r="F56" s="1">
        <v>55</v>
      </c>
      <c r="G56" s="1">
        <f t="shared" si="13"/>
        <v>9498.5</v>
      </c>
      <c r="H56" s="1">
        <f t="shared" si="14"/>
        <v>345.40000000000003</v>
      </c>
      <c r="I56" s="1">
        <f t="shared" si="2"/>
        <v>181.81818181818184</v>
      </c>
      <c r="J56" s="1">
        <f t="shared" si="15"/>
        <v>0.52639890509027742</v>
      </c>
      <c r="K56" s="1">
        <f t="shared" si="4"/>
        <v>5000</v>
      </c>
      <c r="L56" s="1">
        <f t="shared" si="16"/>
        <v>2.5132741228718346E-2</v>
      </c>
      <c r="M56" s="3">
        <f t="shared" si="17"/>
        <v>152.00113274122873</v>
      </c>
      <c r="N56" s="9">
        <f t="shared" si="18"/>
        <v>0.10373097067958099</v>
      </c>
      <c r="O56" s="17">
        <f t="shared" si="19"/>
        <v>4.0000000000000001E-3</v>
      </c>
      <c r="P56" s="17">
        <f t="shared" si="20"/>
        <v>4.0000000000000001E-3</v>
      </c>
      <c r="Q56" s="17">
        <f t="shared" si="21"/>
        <v>8.0000000000000002E-3</v>
      </c>
      <c r="R56" s="10">
        <f t="shared" si="22"/>
        <v>1200.8089486557071</v>
      </c>
      <c r="S56" s="19">
        <f t="shared" si="23"/>
        <v>63642874.278752476</v>
      </c>
    </row>
    <row r="57" spans="5:19" x14ac:dyDescent="0.3">
      <c r="E57" s="1">
        <v>3.14</v>
      </c>
      <c r="F57" s="1">
        <v>56</v>
      </c>
      <c r="G57" s="1">
        <f t="shared" si="13"/>
        <v>9847.0400000000009</v>
      </c>
      <c r="H57" s="1">
        <f t="shared" si="14"/>
        <v>351.68</v>
      </c>
      <c r="I57" s="1">
        <f t="shared" si="2"/>
        <v>178.57142857142856</v>
      </c>
      <c r="J57" s="1">
        <f t="shared" si="15"/>
        <v>0.50776680098791105</v>
      </c>
      <c r="K57" s="1">
        <f t="shared" si="4"/>
        <v>5000</v>
      </c>
      <c r="L57" s="1">
        <f t="shared" si="16"/>
        <v>2.5132741228718346E-2</v>
      </c>
      <c r="M57" s="3">
        <f t="shared" si="17"/>
        <v>157.57777274122876</v>
      </c>
      <c r="N57" s="9">
        <f t="shared" si="18"/>
        <v>0.10359891144953205</v>
      </c>
      <c r="O57" s="17">
        <f t="shared" si="19"/>
        <v>4.0000000000000001E-3</v>
      </c>
      <c r="P57" s="17">
        <f t="shared" si="20"/>
        <v>4.0000000000000001E-3</v>
      </c>
      <c r="Q57" s="17">
        <f t="shared" si="21"/>
        <v>8.0000000000000002E-3</v>
      </c>
      <c r="R57" s="10">
        <f t="shared" si="22"/>
        <v>1244.8644046557072</v>
      </c>
      <c r="S57" s="19">
        <f t="shared" si="23"/>
        <v>65977813.446752481</v>
      </c>
    </row>
    <row r="58" spans="5:19" x14ac:dyDescent="0.3">
      <c r="E58" s="1">
        <v>3.14</v>
      </c>
      <c r="F58" s="1">
        <v>57</v>
      </c>
      <c r="G58" s="1">
        <f t="shared" si="13"/>
        <v>10201.86</v>
      </c>
      <c r="H58" s="1">
        <f t="shared" si="14"/>
        <v>357.96000000000004</v>
      </c>
      <c r="I58" s="1">
        <f t="shared" si="2"/>
        <v>175.43859649122808</v>
      </c>
      <c r="J58" s="1">
        <f t="shared" si="15"/>
        <v>0.49010670603203726</v>
      </c>
      <c r="K58" s="1">
        <f t="shared" si="4"/>
        <v>5000</v>
      </c>
      <c r="L58" s="1">
        <f t="shared" si="16"/>
        <v>2.5132741228718346E-2</v>
      </c>
      <c r="M58" s="3">
        <f t="shared" si="17"/>
        <v>163.25489274122873</v>
      </c>
      <c r="N58" s="9">
        <f t="shared" si="18"/>
        <v>0.10347374155301092</v>
      </c>
      <c r="O58" s="17">
        <f t="shared" si="19"/>
        <v>4.0000000000000001E-3</v>
      </c>
      <c r="P58" s="17">
        <f t="shared" si="20"/>
        <v>4.0000000000000001E-3</v>
      </c>
      <c r="Q58" s="17">
        <f t="shared" si="21"/>
        <v>8.0000000000000002E-3</v>
      </c>
      <c r="R58" s="10">
        <f t="shared" si="22"/>
        <v>1289.7136526557069</v>
      </c>
      <c r="S58" s="19">
        <f t="shared" si="23"/>
        <v>68354823.590752468</v>
      </c>
    </row>
    <row r="59" spans="5:19" x14ac:dyDescent="0.3">
      <c r="E59" s="1">
        <v>3.14</v>
      </c>
      <c r="F59" s="1">
        <v>58</v>
      </c>
      <c r="G59" s="1">
        <f t="shared" si="13"/>
        <v>10562.960000000001</v>
      </c>
      <c r="H59" s="1">
        <f t="shared" si="14"/>
        <v>364.24</v>
      </c>
      <c r="I59" s="1">
        <f t="shared" si="2"/>
        <v>172.41379310344828</v>
      </c>
      <c r="J59" s="1">
        <f t="shared" si="15"/>
        <v>0.47335216643819533</v>
      </c>
      <c r="K59" s="1">
        <f t="shared" si="4"/>
        <v>5000</v>
      </c>
      <c r="L59" s="1">
        <f t="shared" si="16"/>
        <v>2.5132741228718346E-2</v>
      </c>
      <c r="M59" s="3">
        <f t="shared" si="17"/>
        <v>169.03249274122874</v>
      </c>
      <c r="N59" s="9">
        <f t="shared" si="18"/>
        <v>0.10335498998386816</v>
      </c>
      <c r="O59" s="17">
        <f t="shared" si="19"/>
        <v>4.0000000000000001E-3</v>
      </c>
      <c r="P59" s="17">
        <f t="shared" si="20"/>
        <v>4.0000000000000001E-3</v>
      </c>
      <c r="Q59" s="17">
        <f t="shared" si="21"/>
        <v>8.0000000000000002E-3</v>
      </c>
      <c r="R59" s="10">
        <f t="shared" si="22"/>
        <v>1335.3566926557071</v>
      </c>
      <c r="S59" s="19">
        <f t="shared" si="23"/>
        <v>70773904.710752472</v>
      </c>
    </row>
    <row r="60" spans="5:19" x14ac:dyDescent="0.3">
      <c r="E60" s="1">
        <v>3.14</v>
      </c>
      <c r="F60" s="1">
        <v>59</v>
      </c>
      <c r="G60" s="1">
        <f t="shared" si="13"/>
        <v>10930.34</v>
      </c>
      <c r="H60" s="1">
        <f t="shared" si="14"/>
        <v>370.52000000000004</v>
      </c>
      <c r="I60" s="1">
        <f t="shared" si="2"/>
        <v>169.49152542372883</v>
      </c>
      <c r="J60" s="1">
        <f t="shared" si="15"/>
        <v>0.45744231195003998</v>
      </c>
      <c r="K60" s="1">
        <f t="shared" si="4"/>
        <v>5000</v>
      </c>
      <c r="L60" s="1">
        <f t="shared" si="16"/>
        <v>2.5132741228718346E-2</v>
      </c>
      <c r="M60" s="3">
        <f t="shared" si="17"/>
        <v>174.91057274122875</v>
      </c>
      <c r="N60" s="9">
        <f t="shared" si="18"/>
        <v>0.1032422253104661</v>
      </c>
      <c r="O60" s="17">
        <f t="shared" si="19"/>
        <v>4.0000000000000001E-3</v>
      </c>
      <c r="P60" s="17">
        <f t="shared" si="20"/>
        <v>4.0000000000000001E-3</v>
      </c>
      <c r="Q60" s="17">
        <f t="shared" si="21"/>
        <v>8.0000000000000002E-3</v>
      </c>
      <c r="R60" s="10">
        <f t="shared" si="22"/>
        <v>1381.7935246557072</v>
      </c>
      <c r="S60" s="19">
        <f t="shared" si="23"/>
        <v>73235056.806752488</v>
      </c>
    </row>
    <row r="61" spans="5:19" x14ac:dyDescent="0.3">
      <c r="E61" s="1">
        <v>3.14</v>
      </c>
      <c r="F61" s="1">
        <v>60</v>
      </c>
      <c r="G61" s="1">
        <f t="shared" si="13"/>
        <v>11304</v>
      </c>
      <c r="H61" s="1">
        <f t="shared" si="14"/>
        <v>376.8</v>
      </c>
      <c r="I61" s="1">
        <f t="shared" si="2"/>
        <v>166.66666666666666</v>
      </c>
      <c r="J61" s="1">
        <f t="shared" si="15"/>
        <v>0.44232130219391363</v>
      </c>
      <c r="K61" s="1">
        <f t="shared" si="4"/>
        <v>5000</v>
      </c>
      <c r="L61" s="1">
        <f t="shared" si="16"/>
        <v>2.5132741228718346E-2</v>
      </c>
      <c r="M61" s="3">
        <f t="shared" si="17"/>
        <v>180.88913274122874</v>
      </c>
      <c r="N61" s="9">
        <f t="shared" si="18"/>
        <v>0.10313505175159236</v>
      </c>
      <c r="O61" s="17">
        <f t="shared" si="19"/>
        <v>4.0000000000000001E-3</v>
      </c>
      <c r="P61" s="17">
        <f t="shared" si="20"/>
        <v>4.0000000000000001E-3</v>
      </c>
      <c r="Q61" s="17">
        <f t="shared" si="21"/>
        <v>8.0000000000000002E-3</v>
      </c>
      <c r="R61" s="10">
        <f t="shared" si="22"/>
        <v>1429.024148655707</v>
      </c>
      <c r="S61" s="19">
        <f t="shared" si="23"/>
        <v>75738279.87875247</v>
      </c>
    </row>
    <row r="62" spans="5:19" x14ac:dyDescent="0.3">
      <c r="E62" s="1">
        <v>3.14</v>
      </c>
      <c r="F62" s="1">
        <v>61</v>
      </c>
      <c r="G62" s="1">
        <f t="shared" si="13"/>
        <v>11683.94</v>
      </c>
      <c r="H62" s="1">
        <f t="shared" si="14"/>
        <v>383.08000000000004</v>
      </c>
      <c r="I62" s="1">
        <f t="shared" si="2"/>
        <v>163.9344262295082</v>
      </c>
      <c r="J62" s="1">
        <f t="shared" si="15"/>
        <v>0.42793783603818575</v>
      </c>
      <c r="K62" s="1">
        <f t="shared" si="4"/>
        <v>5000</v>
      </c>
      <c r="L62" s="1">
        <f t="shared" si="16"/>
        <v>2.5132741228718346E-2</v>
      </c>
      <c r="M62" s="3">
        <f t="shared" si="17"/>
        <v>186.96817274122876</v>
      </c>
      <c r="N62" s="9">
        <f t="shared" si="18"/>
        <v>0.10303310569893376</v>
      </c>
      <c r="O62" s="17">
        <f t="shared" si="19"/>
        <v>4.0000000000000001E-3</v>
      </c>
      <c r="P62" s="17">
        <f t="shared" si="20"/>
        <v>4.0000000000000001E-3</v>
      </c>
      <c r="Q62" s="17">
        <f t="shared" si="21"/>
        <v>8.0000000000000002E-3</v>
      </c>
      <c r="R62" s="10">
        <f t="shared" si="22"/>
        <v>1477.0485646557072</v>
      </c>
      <c r="S62" s="19">
        <f t="shared" si="23"/>
        <v>78283573.926752478</v>
      </c>
    </row>
    <row r="63" spans="5:19" x14ac:dyDescent="0.3">
      <c r="E63" s="1">
        <v>3.14</v>
      </c>
      <c r="F63" s="1">
        <v>62</v>
      </c>
      <c r="G63" s="1">
        <f t="shared" si="13"/>
        <v>12070.16</v>
      </c>
      <c r="H63" s="1">
        <f t="shared" si="14"/>
        <v>389.36</v>
      </c>
      <c r="I63" s="1">
        <f t="shared" si="2"/>
        <v>161.29032258064515</v>
      </c>
      <c r="J63" s="1">
        <f t="shared" si="15"/>
        <v>0.41424471589440404</v>
      </c>
      <c r="K63" s="1">
        <f t="shared" si="4"/>
        <v>5000</v>
      </c>
      <c r="L63" s="1">
        <f t="shared" si="16"/>
        <v>2.5132741228718346E-2</v>
      </c>
      <c r="M63" s="3">
        <f t="shared" si="17"/>
        <v>193.14769274122872</v>
      </c>
      <c r="N63" s="9">
        <f t="shared" si="18"/>
        <v>0.10293605262896267</v>
      </c>
      <c r="O63" s="17">
        <f t="shared" si="19"/>
        <v>4.0000000000000001E-3</v>
      </c>
      <c r="P63" s="17">
        <f t="shared" si="20"/>
        <v>4.0000000000000001E-3</v>
      </c>
      <c r="Q63" s="17">
        <f t="shared" si="21"/>
        <v>8.0000000000000002E-3</v>
      </c>
      <c r="R63" s="10">
        <f t="shared" si="22"/>
        <v>1525.8667726557069</v>
      </c>
      <c r="S63" s="19">
        <f t="shared" si="23"/>
        <v>80870938.950752467</v>
      </c>
    </row>
    <row r="64" spans="5:19" x14ac:dyDescent="0.3">
      <c r="E64" s="1">
        <v>3.14</v>
      </c>
      <c r="F64" s="1">
        <v>63</v>
      </c>
      <c r="G64" s="1">
        <f t="shared" si="13"/>
        <v>12462.66</v>
      </c>
      <c r="H64" s="1">
        <f t="shared" si="14"/>
        <v>395.64000000000004</v>
      </c>
      <c r="I64" s="1">
        <f t="shared" si="2"/>
        <v>158.73015873015876</v>
      </c>
      <c r="J64" s="1">
        <f t="shared" si="15"/>
        <v>0.40119846003983101</v>
      </c>
      <c r="K64" s="1">
        <f t="shared" si="4"/>
        <v>5000</v>
      </c>
      <c r="L64" s="1">
        <f t="shared" si="16"/>
        <v>2.5132741228718346E-2</v>
      </c>
      <c r="M64" s="3">
        <f t="shared" si="17"/>
        <v>199.42769274122873</v>
      </c>
      <c r="N64" s="9">
        <f t="shared" si="18"/>
        <v>0.10284358435518581</v>
      </c>
      <c r="O64" s="17">
        <f t="shared" si="19"/>
        <v>4.0000000000000001E-3</v>
      </c>
      <c r="P64" s="17">
        <f t="shared" si="20"/>
        <v>4.0000000000000001E-3</v>
      </c>
      <c r="Q64" s="17">
        <f t="shared" si="21"/>
        <v>8.0000000000000002E-3</v>
      </c>
      <c r="R64" s="10">
        <f t="shared" si="22"/>
        <v>1575.478772655707</v>
      </c>
      <c r="S64" s="19">
        <f t="shared" si="23"/>
        <v>83500374.950752467</v>
      </c>
    </row>
    <row r="65" spans="5:19" x14ac:dyDescent="0.3">
      <c r="E65" s="1">
        <v>3.14</v>
      </c>
      <c r="F65" s="1">
        <v>64</v>
      </c>
      <c r="G65" s="1">
        <f t="shared" si="13"/>
        <v>12861.44</v>
      </c>
      <c r="H65" s="1">
        <f t="shared" si="14"/>
        <v>401.92</v>
      </c>
      <c r="I65" s="1">
        <f t="shared" si="2"/>
        <v>156.25</v>
      </c>
      <c r="J65" s="1">
        <f t="shared" si="15"/>
        <v>0.38875895700636942</v>
      </c>
      <c r="K65" s="1">
        <f t="shared" si="4"/>
        <v>5000</v>
      </c>
      <c r="L65" s="1">
        <f t="shared" si="16"/>
        <v>2.5132741228718346E-2</v>
      </c>
      <c r="M65" s="3">
        <f t="shared" si="17"/>
        <v>205.80817274122873</v>
      </c>
      <c r="N65" s="9">
        <f t="shared" si="18"/>
        <v>0.10275541657854798</v>
      </c>
      <c r="O65" s="17">
        <f t="shared" si="19"/>
        <v>4.0000000000000001E-3</v>
      </c>
      <c r="P65" s="17">
        <f t="shared" si="20"/>
        <v>4.0000000000000001E-3</v>
      </c>
      <c r="Q65" s="17">
        <f t="shared" si="21"/>
        <v>8.0000000000000002E-3</v>
      </c>
      <c r="R65" s="10">
        <f t="shared" si="22"/>
        <v>1625.884564655707</v>
      </c>
      <c r="S65" s="19">
        <f t="shared" si="23"/>
        <v>86171881.926752463</v>
      </c>
    </row>
    <row r="66" spans="5:19" x14ac:dyDescent="0.3">
      <c r="E66" s="1">
        <v>3.14</v>
      </c>
      <c r="F66" s="1">
        <v>65</v>
      </c>
      <c r="G66" s="1">
        <f t="shared" si="13"/>
        <v>13266.5</v>
      </c>
      <c r="H66" s="1">
        <f t="shared" si="14"/>
        <v>408.2</v>
      </c>
      <c r="I66" s="1">
        <f t="shared" si="2"/>
        <v>153.84615384615384</v>
      </c>
      <c r="J66" s="1">
        <f t="shared" si="15"/>
        <v>0.37688915689895602</v>
      </c>
      <c r="K66" s="1">
        <f t="shared" si="4"/>
        <v>5000</v>
      </c>
      <c r="L66" s="1">
        <f t="shared" si="16"/>
        <v>2.5132741228718346E-2</v>
      </c>
      <c r="M66" s="3">
        <f t="shared" si="17"/>
        <v>212.28913274122874</v>
      </c>
      <c r="N66" s="9">
        <f t="shared" si="18"/>
        <v>0.10267128669958166</v>
      </c>
      <c r="O66" s="17">
        <f t="shared" si="19"/>
        <v>4.0000000000000001E-3</v>
      </c>
      <c r="P66" s="17">
        <f t="shared" si="20"/>
        <v>4.0000000000000001E-3</v>
      </c>
      <c r="Q66" s="17">
        <f t="shared" si="21"/>
        <v>8.0000000000000002E-3</v>
      </c>
      <c r="R66" s="10">
        <f t="shared" si="22"/>
        <v>1677.0841486557069</v>
      </c>
      <c r="S66" s="19">
        <f t="shared" si="23"/>
        <v>88885459.87875247</v>
      </c>
    </row>
    <row r="67" spans="5:19" x14ac:dyDescent="0.3">
      <c r="E67" s="1">
        <v>3.14</v>
      </c>
      <c r="F67" s="1">
        <v>66</v>
      </c>
      <c r="G67" s="1">
        <f t="shared" si="13"/>
        <v>13677.84</v>
      </c>
      <c r="H67" s="1">
        <f t="shared" si="14"/>
        <v>414.48</v>
      </c>
      <c r="I67" s="1">
        <f t="shared" ref="I67:I130" si="24">H67*J67</f>
        <v>151.5151515151515</v>
      </c>
      <c r="J67" s="1">
        <f t="shared" si="15"/>
        <v>0.36555479520158152</v>
      </c>
      <c r="K67" s="1">
        <f t="shared" ref="K67:K130" si="25">$C$18</f>
        <v>5000</v>
      </c>
      <c r="L67" s="1">
        <f t="shared" si="16"/>
        <v>2.5132741228718346E-2</v>
      </c>
      <c r="M67" s="3">
        <f t="shared" si="17"/>
        <v>218.87057274122873</v>
      </c>
      <c r="N67" s="9">
        <f t="shared" si="18"/>
        <v>0.10259095186082014</v>
      </c>
      <c r="O67" s="17">
        <f t="shared" si="19"/>
        <v>4.0000000000000001E-3</v>
      </c>
      <c r="P67" s="17">
        <f t="shared" si="20"/>
        <v>4.0000000000000001E-3</v>
      </c>
      <c r="Q67" s="17">
        <f t="shared" si="21"/>
        <v>8.0000000000000002E-3</v>
      </c>
      <c r="R67" s="10">
        <f t="shared" si="22"/>
        <v>1729.0775246557071</v>
      </c>
      <c r="S67" s="19">
        <f t="shared" si="23"/>
        <v>91641108.806752473</v>
      </c>
    </row>
    <row r="68" spans="5:19" x14ac:dyDescent="0.3">
      <c r="E68" s="1">
        <v>3.14</v>
      </c>
      <c r="F68" s="1">
        <v>67</v>
      </c>
      <c r="G68" s="1">
        <f t="shared" si="13"/>
        <v>14095.460000000001</v>
      </c>
      <c r="H68" s="1">
        <f t="shared" si="14"/>
        <v>420.76</v>
      </c>
      <c r="I68" s="1">
        <f t="shared" si="24"/>
        <v>149.25373134328356</v>
      </c>
      <c r="J68" s="1">
        <f t="shared" si="15"/>
        <v>0.35472414522122725</v>
      </c>
      <c r="K68" s="1">
        <f t="shared" si="25"/>
        <v>5000</v>
      </c>
      <c r="L68" s="1">
        <f t="shared" si="16"/>
        <v>2.5132741228718346E-2</v>
      </c>
      <c r="M68" s="3">
        <f t="shared" si="17"/>
        <v>225.55249274122875</v>
      </c>
      <c r="N68" s="9">
        <f t="shared" si="18"/>
        <v>0.10251418719218813</v>
      </c>
      <c r="O68" s="17">
        <f t="shared" si="19"/>
        <v>4.0000000000000001E-3</v>
      </c>
      <c r="P68" s="17">
        <f t="shared" si="20"/>
        <v>4.0000000000000001E-3</v>
      </c>
      <c r="Q68" s="17">
        <f t="shared" si="21"/>
        <v>8.0000000000000002E-3</v>
      </c>
      <c r="R68" s="10">
        <f t="shared" si="22"/>
        <v>1781.8646926557071</v>
      </c>
      <c r="S68" s="19">
        <f t="shared" si="23"/>
        <v>94438828.710752472</v>
      </c>
    </row>
    <row r="69" spans="5:19" x14ac:dyDescent="0.3">
      <c r="E69" s="1">
        <v>3.14</v>
      </c>
      <c r="F69" s="1">
        <v>68</v>
      </c>
      <c r="G69" s="1">
        <f t="shared" si="13"/>
        <v>14519.36</v>
      </c>
      <c r="H69" s="1">
        <f t="shared" si="14"/>
        <v>427.04</v>
      </c>
      <c r="I69" s="1">
        <f t="shared" si="24"/>
        <v>147.05882352941177</v>
      </c>
      <c r="J69" s="1">
        <f t="shared" si="15"/>
        <v>0.34436779582571131</v>
      </c>
      <c r="K69" s="1">
        <f t="shared" si="25"/>
        <v>5000</v>
      </c>
      <c r="L69" s="1">
        <f t="shared" si="16"/>
        <v>2.5132741228718346E-2</v>
      </c>
      <c r="M69" s="3">
        <f t="shared" si="17"/>
        <v>232.33489274122874</v>
      </c>
      <c r="N69" s="9">
        <f t="shared" si="18"/>
        <v>0.1024407842356688</v>
      </c>
      <c r="O69" s="17">
        <f t="shared" si="19"/>
        <v>4.0000000000000001E-3</v>
      </c>
      <c r="P69" s="17">
        <f t="shared" si="20"/>
        <v>4.0000000000000001E-3</v>
      </c>
      <c r="Q69" s="17">
        <f t="shared" si="21"/>
        <v>8.0000000000000002E-3</v>
      </c>
      <c r="R69" s="10">
        <f t="shared" si="22"/>
        <v>1835.4456526557069</v>
      </c>
      <c r="S69" s="19">
        <f t="shared" si="23"/>
        <v>97278619.590752468</v>
      </c>
    </row>
    <row r="70" spans="5:19" x14ac:dyDescent="0.3">
      <c r="E70" s="1">
        <v>3.14</v>
      </c>
      <c r="F70" s="1">
        <v>69</v>
      </c>
      <c r="G70" s="1">
        <f t="shared" si="13"/>
        <v>14949.54</v>
      </c>
      <c r="H70" s="1">
        <f t="shared" si="14"/>
        <v>433.32</v>
      </c>
      <c r="I70" s="1">
        <f t="shared" si="24"/>
        <v>144.92753623188406</v>
      </c>
      <c r="J70" s="1">
        <f t="shared" si="15"/>
        <v>0.33445845156439596</v>
      </c>
      <c r="K70" s="1">
        <f t="shared" si="25"/>
        <v>5000</v>
      </c>
      <c r="L70" s="1">
        <f t="shared" si="16"/>
        <v>2.5132741228718346E-2</v>
      </c>
      <c r="M70" s="3">
        <f t="shared" si="17"/>
        <v>239.21777274122874</v>
      </c>
      <c r="N70" s="9">
        <f t="shared" si="18"/>
        <v>0.10237054952861427</v>
      </c>
      <c r="O70" s="17">
        <f t="shared" si="19"/>
        <v>4.0000000000000001E-3</v>
      </c>
      <c r="P70" s="17">
        <f t="shared" si="20"/>
        <v>4.0000000000000001E-3</v>
      </c>
      <c r="Q70" s="17">
        <f t="shared" si="21"/>
        <v>8.0000000000000002E-3</v>
      </c>
      <c r="R70" s="10">
        <f t="shared" si="22"/>
        <v>1889.8204046557071</v>
      </c>
      <c r="S70" s="19">
        <f t="shared" si="23"/>
        <v>100160481.44675247</v>
      </c>
    </row>
    <row r="71" spans="5:19" x14ac:dyDescent="0.3">
      <c r="E71" s="1">
        <v>3.14</v>
      </c>
      <c r="F71" s="1">
        <v>70</v>
      </c>
      <c r="G71" s="1">
        <f t="shared" si="13"/>
        <v>15386</v>
      </c>
      <c r="H71" s="1">
        <f t="shared" si="14"/>
        <v>439.6</v>
      </c>
      <c r="I71" s="1">
        <f t="shared" si="24"/>
        <v>142.85714285714286</v>
      </c>
      <c r="J71" s="1">
        <f t="shared" si="15"/>
        <v>0.3249707526322631</v>
      </c>
      <c r="K71" s="1">
        <f t="shared" si="25"/>
        <v>5000</v>
      </c>
      <c r="L71" s="1">
        <f t="shared" si="16"/>
        <v>2.5132741228718346E-2</v>
      </c>
      <c r="M71" s="3">
        <f t="shared" si="17"/>
        <v>246.20113274122875</v>
      </c>
      <c r="N71" s="9">
        <f t="shared" si="18"/>
        <v>0.10230330332770052</v>
      </c>
      <c r="O71" s="17">
        <f t="shared" si="19"/>
        <v>4.0000000000000001E-3</v>
      </c>
      <c r="P71" s="17">
        <f t="shared" si="20"/>
        <v>4.0000000000000001E-3</v>
      </c>
      <c r="Q71" s="17">
        <f t="shared" si="21"/>
        <v>8.0000000000000002E-3</v>
      </c>
      <c r="R71" s="10">
        <f t="shared" si="22"/>
        <v>1944.9889486557072</v>
      </c>
      <c r="S71" s="19">
        <f t="shared" si="23"/>
        <v>103084414.27875248</v>
      </c>
    </row>
    <row r="72" spans="5:19" x14ac:dyDescent="0.3">
      <c r="E72" s="1">
        <v>3.14</v>
      </c>
      <c r="F72" s="1">
        <v>71</v>
      </c>
      <c r="G72" s="1">
        <f t="shared" ref="G72:G135" si="26">E72*F72^2</f>
        <v>15828.74</v>
      </c>
      <c r="H72" s="1">
        <f t="shared" ref="H72:H135" si="27">2*E72*F72</f>
        <v>445.88</v>
      </c>
      <c r="I72" s="1">
        <f t="shared" si="24"/>
        <v>140.84507042253523</v>
      </c>
      <c r="J72" s="1">
        <f t="shared" ref="J72:J135" si="28">K72/G72</f>
        <v>0.31588111245746664</v>
      </c>
      <c r="K72" s="1">
        <f t="shared" si="25"/>
        <v>5000</v>
      </c>
      <c r="L72" s="1">
        <f t="shared" ref="L72:L135" si="29">2*PI()*P72</f>
        <v>2.5132741228718346E-2</v>
      </c>
      <c r="M72" s="3">
        <f t="shared" ref="M72:M135" si="30">(G72*2*Q72)+L72</f>
        <v>253.28497274122873</v>
      </c>
      <c r="N72" s="9">
        <f t="shared" ref="N72:N135" si="31">0.1+$C$8*J72*0.85*9.81/(10^6)</f>
        <v>0.1022388784577926</v>
      </c>
      <c r="O72" s="17">
        <f t="shared" ref="O72:O135" si="32">IF((1.05*$C$8*9.81*J72)*F72/(0.7*((10^6)/(1.025*1.15)))/(10^3)&gt;=0.004, (1.05*$C$8*9.81*J72)*F72/(0.7*((10^6)/(1.025*1.15)))/(10^3), 0.004)</f>
        <v>4.0000000000000001E-3</v>
      </c>
      <c r="P72" s="17">
        <f t="shared" ref="P72:P135" si="33">IF((1.05*$C$8*9.81*J72)*F72/(0.7*((10^6)/(1.025*1.15))*10^3)&gt;=0.004, (1.05*$C$8*9.81*J72^2)*F72/(0.7*((10^6)/(1.025*1.15))*2*10^3), 0.004)</f>
        <v>4.0000000000000001E-3</v>
      </c>
      <c r="Q72" s="17">
        <f t="shared" ref="Q72:Q135" si="34">2*O72</f>
        <v>8.0000000000000002E-3</v>
      </c>
      <c r="R72" s="10">
        <f t="shared" ref="R72:R135" si="35">M72*$C$17*10^(-3)</f>
        <v>2000.951284655707</v>
      </c>
      <c r="S72" s="19">
        <f t="shared" ref="S72:S135" si="36">R72*53000</f>
        <v>106050418.08675247</v>
      </c>
    </row>
    <row r="73" spans="5:19" x14ac:dyDescent="0.3">
      <c r="E73" s="1">
        <v>3.14</v>
      </c>
      <c r="F73" s="1">
        <v>72</v>
      </c>
      <c r="G73" s="1">
        <f t="shared" si="26"/>
        <v>16277.76</v>
      </c>
      <c r="H73" s="1">
        <f t="shared" si="27"/>
        <v>452.16</v>
      </c>
      <c r="I73" s="1">
        <f t="shared" si="24"/>
        <v>138.88888888888889</v>
      </c>
      <c r="J73" s="1">
        <f t="shared" si="28"/>
        <v>0.30716757096799557</v>
      </c>
      <c r="K73" s="1">
        <f t="shared" si="25"/>
        <v>5000</v>
      </c>
      <c r="L73" s="1">
        <f t="shared" si="29"/>
        <v>2.5132741228718346E-2</v>
      </c>
      <c r="M73" s="3">
        <f t="shared" si="30"/>
        <v>260.46929274122874</v>
      </c>
      <c r="N73" s="9">
        <f t="shared" si="31"/>
        <v>0.10217711927193915</v>
      </c>
      <c r="O73" s="17">
        <f t="shared" si="32"/>
        <v>4.0000000000000001E-3</v>
      </c>
      <c r="P73" s="17">
        <f t="shared" si="33"/>
        <v>4.0000000000000001E-3</v>
      </c>
      <c r="Q73" s="17">
        <f t="shared" si="34"/>
        <v>8.0000000000000002E-3</v>
      </c>
      <c r="R73" s="10">
        <f t="shared" si="35"/>
        <v>2057.7074126557072</v>
      </c>
      <c r="S73" s="19">
        <f t="shared" si="36"/>
        <v>109058492.87075248</v>
      </c>
    </row>
    <row r="74" spans="5:19" x14ac:dyDescent="0.3">
      <c r="E74" s="1">
        <v>3.14</v>
      </c>
      <c r="F74" s="1">
        <v>73</v>
      </c>
      <c r="G74" s="1">
        <f t="shared" si="26"/>
        <v>16733.060000000001</v>
      </c>
      <c r="H74" s="1">
        <f t="shared" si="27"/>
        <v>458.44</v>
      </c>
      <c r="I74" s="1">
        <f t="shared" si="24"/>
        <v>136.98630136986301</v>
      </c>
      <c r="J74" s="1">
        <f t="shared" si="28"/>
        <v>0.2988096618311295</v>
      </c>
      <c r="K74" s="1">
        <f t="shared" si="25"/>
        <v>5000</v>
      </c>
      <c r="L74" s="1">
        <f t="shared" si="29"/>
        <v>2.5132741228718346E-2</v>
      </c>
      <c r="M74" s="3">
        <f t="shared" si="30"/>
        <v>267.75409274122876</v>
      </c>
      <c r="N74" s="9">
        <f t="shared" si="31"/>
        <v>0.10211788071040205</v>
      </c>
      <c r="O74" s="17">
        <f t="shared" si="32"/>
        <v>4.0000000000000001E-3</v>
      </c>
      <c r="P74" s="17">
        <f t="shared" si="33"/>
        <v>4.0000000000000001E-3</v>
      </c>
      <c r="Q74" s="17">
        <f t="shared" si="34"/>
        <v>8.0000000000000002E-3</v>
      </c>
      <c r="R74" s="10">
        <f t="shared" si="35"/>
        <v>2115.2573326557076</v>
      </c>
      <c r="S74" s="19">
        <f t="shared" si="36"/>
        <v>112108638.6307525</v>
      </c>
    </row>
    <row r="75" spans="5:19" x14ac:dyDescent="0.3">
      <c r="E75" s="1">
        <v>3.14</v>
      </c>
      <c r="F75" s="1">
        <v>74</v>
      </c>
      <c r="G75" s="1">
        <f t="shared" si="26"/>
        <v>17194.64</v>
      </c>
      <c r="H75" s="1">
        <f t="shared" si="27"/>
        <v>464.72</v>
      </c>
      <c r="I75" s="1">
        <f t="shared" si="24"/>
        <v>135.13513513513516</v>
      </c>
      <c r="J75" s="1">
        <f t="shared" si="28"/>
        <v>0.29078829216546553</v>
      </c>
      <c r="K75" s="1">
        <f t="shared" si="25"/>
        <v>5000</v>
      </c>
      <c r="L75" s="1">
        <f t="shared" si="29"/>
        <v>2.5132741228718346E-2</v>
      </c>
      <c r="M75" s="3">
        <f t="shared" si="30"/>
        <v>275.13937274122873</v>
      </c>
      <c r="N75" s="9">
        <f t="shared" si="31"/>
        <v>0.10206102744808848</v>
      </c>
      <c r="O75" s="17">
        <f t="shared" si="32"/>
        <v>4.0000000000000001E-3</v>
      </c>
      <c r="P75" s="17">
        <f t="shared" si="33"/>
        <v>4.0000000000000001E-3</v>
      </c>
      <c r="Q75" s="17">
        <f t="shared" si="34"/>
        <v>8.0000000000000002E-3</v>
      </c>
      <c r="R75" s="10">
        <f t="shared" si="35"/>
        <v>2173.6010446557066</v>
      </c>
      <c r="S75" s="19">
        <f t="shared" si="36"/>
        <v>115200855.36675245</v>
      </c>
    </row>
    <row r="76" spans="5:19" x14ac:dyDescent="0.3">
      <c r="E76" s="1">
        <v>3.14</v>
      </c>
      <c r="F76" s="1">
        <v>75</v>
      </c>
      <c r="G76" s="1">
        <f t="shared" si="26"/>
        <v>17662.5</v>
      </c>
      <c r="H76" s="1">
        <f t="shared" si="27"/>
        <v>471</v>
      </c>
      <c r="I76" s="1">
        <f t="shared" si="24"/>
        <v>133.33333333333334</v>
      </c>
      <c r="J76" s="1">
        <f t="shared" si="28"/>
        <v>0.28308563340410475</v>
      </c>
      <c r="K76" s="1">
        <f t="shared" si="25"/>
        <v>5000</v>
      </c>
      <c r="L76" s="1">
        <f t="shared" si="29"/>
        <v>2.5132741228718346E-2</v>
      </c>
      <c r="M76" s="3">
        <f t="shared" si="30"/>
        <v>282.62513274122875</v>
      </c>
      <c r="N76" s="9">
        <f t="shared" si="31"/>
        <v>0.10200643312101912</v>
      </c>
      <c r="O76" s="17">
        <f t="shared" si="32"/>
        <v>4.0000000000000001E-3</v>
      </c>
      <c r="P76" s="17">
        <f t="shared" si="33"/>
        <v>4.0000000000000001E-3</v>
      </c>
      <c r="Q76" s="17">
        <f t="shared" si="34"/>
        <v>8.0000000000000002E-3</v>
      </c>
      <c r="R76" s="10">
        <f t="shared" si="35"/>
        <v>2232.7385486557068</v>
      </c>
      <c r="S76" s="19">
        <f t="shared" si="36"/>
        <v>118335143.07875246</v>
      </c>
    </row>
    <row r="77" spans="5:19" x14ac:dyDescent="0.3">
      <c r="E77" s="1">
        <v>3.14</v>
      </c>
      <c r="F77" s="1">
        <v>76</v>
      </c>
      <c r="G77" s="1">
        <f t="shared" si="26"/>
        <v>18136.64</v>
      </c>
      <c r="H77" s="1">
        <f t="shared" si="27"/>
        <v>477.28000000000003</v>
      </c>
      <c r="I77" s="1">
        <f t="shared" si="24"/>
        <v>131.57894736842107</v>
      </c>
      <c r="J77" s="1">
        <f t="shared" si="28"/>
        <v>0.27568502214302099</v>
      </c>
      <c r="K77" s="1">
        <f t="shared" si="25"/>
        <v>5000</v>
      </c>
      <c r="L77" s="1">
        <f t="shared" si="29"/>
        <v>2.5132741228718346E-2</v>
      </c>
      <c r="M77" s="3">
        <f t="shared" si="30"/>
        <v>290.21137274122873</v>
      </c>
      <c r="N77" s="9">
        <f t="shared" si="31"/>
        <v>0.10195397962356866</v>
      </c>
      <c r="O77" s="17">
        <f t="shared" si="32"/>
        <v>4.0000000000000001E-3</v>
      </c>
      <c r="P77" s="17">
        <f t="shared" si="33"/>
        <v>4.0000000000000001E-3</v>
      </c>
      <c r="Q77" s="17">
        <f t="shared" si="34"/>
        <v>8.0000000000000002E-3</v>
      </c>
      <c r="R77" s="10">
        <f t="shared" si="35"/>
        <v>2292.669844655707</v>
      </c>
      <c r="S77" s="19">
        <f t="shared" si="36"/>
        <v>121511501.76675247</v>
      </c>
    </row>
    <row r="78" spans="5:19" x14ac:dyDescent="0.3">
      <c r="E78" s="1">
        <v>3.14</v>
      </c>
      <c r="F78" s="1">
        <v>77</v>
      </c>
      <c r="G78" s="1">
        <f t="shared" si="26"/>
        <v>18617.060000000001</v>
      </c>
      <c r="H78" s="1">
        <f t="shared" si="27"/>
        <v>483.56</v>
      </c>
      <c r="I78" s="1">
        <f t="shared" si="24"/>
        <v>129.87012987012986</v>
      </c>
      <c r="J78" s="1">
        <f t="shared" si="28"/>
        <v>0.26857086994401907</v>
      </c>
      <c r="K78" s="1">
        <f t="shared" si="25"/>
        <v>5000</v>
      </c>
      <c r="L78" s="1">
        <f t="shared" si="29"/>
        <v>2.5132741228718346E-2</v>
      </c>
      <c r="M78" s="3">
        <f t="shared" si="30"/>
        <v>297.89809274122877</v>
      </c>
      <c r="N78" s="9">
        <f t="shared" si="31"/>
        <v>0.10190355646917398</v>
      </c>
      <c r="O78" s="17">
        <f t="shared" si="32"/>
        <v>4.0000000000000001E-3</v>
      </c>
      <c r="P78" s="17">
        <f t="shared" si="33"/>
        <v>4.0000000000000001E-3</v>
      </c>
      <c r="Q78" s="17">
        <f t="shared" si="34"/>
        <v>8.0000000000000002E-3</v>
      </c>
      <c r="R78" s="10">
        <f t="shared" si="35"/>
        <v>2353.3949326557076</v>
      </c>
      <c r="S78" s="19">
        <f t="shared" si="36"/>
        <v>124729931.4307525</v>
      </c>
    </row>
    <row r="79" spans="5:19" x14ac:dyDescent="0.3">
      <c r="E79" s="1">
        <v>3.14</v>
      </c>
      <c r="F79" s="1">
        <v>78</v>
      </c>
      <c r="G79" s="1">
        <f t="shared" si="26"/>
        <v>19103.760000000002</v>
      </c>
      <c r="H79" s="1">
        <f t="shared" si="27"/>
        <v>489.84000000000003</v>
      </c>
      <c r="I79" s="1">
        <f t="shared" si="24"/>
        <v>128.2051282051282</v>
      </c>
      <c r="J79" s="1">
        <f t="shared" si="28"/>
        <v>0.26172858117983056</v>
      </c>
      <c r="K79" s="1">
        <f t="shared" si="25"/>
        <v>5000</v>
      </c>
      <c r="L79" s="1">
        <f t="shared" si="29"/>
        <v>2.5132741228718346E-2</v>
      </c>
      <c r="M79" s="3">
        <f t="shared" si="30"/>
        <v>305.68529274122875</v>
      </c>
      <c r="N79" s="9">
        <f t="shared" si="31"/>
        <v>0.10185506020804282</v>
      </c>
      <c r="O79" s="17">
        <f t="shared" si="32"/>
        <v>4.0000000000000001E-3</v>
      </c>
      <c r="P79" s="17">
        <f t="shared" si="33"/>
        <v>4.0000000000000001E-3</v>
      </c>
      <c r="Q79" s="17">
        <f t="shared" si="34"/>
        <v>8.0000000000000002E-3</v>
      </c>
      <c r="R79" s="10">
        <f t="shared" si="35"/>
        <v>2414.9138126557073</v>
      </c>
      <c r="S79" s="19">
        <f t="shared" si="36"/>
        <v>127990432.07075249</v>
      </c>
    </row>
    <row r="80" spans="5:19" x14ac:dyDescent="0.3">
      <c r="E80" s="1">
        <v>3.14</v>
      </c>
      <c r="F80" s="1">
        <v>79</v>
      </c>
      <c r="G80" s="1">
        <f t="shared" si="26"/>
        <v>19596.740000000002</v>
      </c>
      <c r="H80" s="1">
        <f t="shared" si="27"/>
        <v>496.12</v>
      </c>
      <c r="I80" s="1">
        <f t="shared" si="24"/>
        <v>126.58227848101265</v>
      </c>
      <c r="J80" s="1">
        <f t="shared" si="28"/>
        <v>0.25514447811217578</v>
      </c>
      <c r="K80" s="1">
        <f t="shared" si="25"/>
        <v>5000</v>
      </c>
      <c r="L80" s="1">
        <f t="shared" si="29"/>
        <v>2.5132741228718346E-2</v>
      </c>
      <c r="M80" s="3">
        <f t="shared" si="30"/>
        <v>313.57297274122874</v>
      </c>
      <c r="N80" s="9">
        <f t="shared" si="31"/>
        <v>0.10180839389612763</v>
      </c>
      <c r="O80" s="17">
        <f t="shared" si="32"/>
        <v>4.0000000000000001E-3</v>
      </c>
      <c r="P80" s="17">
        <f t="shared" si="33"/>
        <v>4.0000000000000001E-3</v>
      </c>
      <c r="Q80" s="17">
        <f t="shared" si="34"/>
        <v>8.0000000000000002E-3</v>
      </c>
      <c r="R80" s="10">
        <f t="shared" si="35"/>
        <v>2477.2264846557073</v>
      </c>
      <c r="S80" s="19">
        <f t="shared" si="36"/>
        <v>131293003.68675248</v>
      </c>
    </row>
    <row r="81" spans="5:19" x14ac:dyDescent="0.3">
      <c r="E81" s="1">
        <v>3.14</v>
      </c>
      <c r="F81" s="1">
        <v>80</v>
      </c>
      <c r="G81" s="1">
        <f t="shared" si="26"/>
        <v>20096</v>
      </c>
      <c r="H81" s="1">
        <f t="shared" si="27"/>
        <v>502.40000000000003</v>
      </c>
      <c r="I81" s="1">
        <f t="shared" si="24"/>
        <v>125</v>
      </c>
      <c r="J81" s="1">
        <f t="shared" si="28"/>
        <v>0.24880573248407642</v>
      </c>
      <c r="K81" s="1">
        <f t="shared" si="25"/>
        <v>5000</v>
      </c>
      <c r="L81" s="1">
        <f t="shared" si="29"/>
        <v>2.5132741228718346E-2</v>
      </c>
      <c r="M81" s="3">
        <f t="shared" si="30"/>
        <v>321.56113274122873</v>
      </c>
      <c r="N81" s="9">
        <f t="shared" si="31"/>
        <v>0.10176346661027071</v>
      </c>
      <c r="O81" s="17">
        <f t="shared" si="32"/>
        <v>4.0000000000000001E-3</v>
      </c>
      <c r="P81" s="17">
        <f t="shared" si="33"/>
        <v>4.0000000000000001E-3</v>
      </c>
      <c r="Q81" s="17">
        <f t="shared" si="34"/>
        <v>8.0000000000000002E-3</v>
      </c>
      <c r="R81" s="10">
        <f t="shared" si="35"/>
        <v>2540.3329486557068</v>
      </c>
      <c r="S81" s="19">
        <f t="shared" si="36"/>
        <v>134637646.27875245</v>
      </c>
    </row>
    <row r="82" spans="5:19" x14ac:dyDescent="0.3">
      <c r="E82" s="1">
        <v>3.14</v>
      </c>
      <c r="F82" s="1">
        <v>81</v>
      </c>
      <c r="G82" s="1">
        <f t="shared" si="26"/>
        <v>20601.54</v>
      </c>
      <c r="H82" s="1">
        <f t="shared" si="27"/>
        <v>508.68</v>
      </c>
      <c r="I82" s="1">
        <f t="shared" si="24"/>
        <v>123.45679012345678</v>
      </c>
      <c r="J82" s="1">
        <f t="shared" si="28"/>
        <v>0.24270030298705825</v>
      </c>
      <c r="K82" s="1">
        <f t="shared" si="25"/>
        <v>5000</v>
      </c>
      <c r="L82" s="1">
        <f t="shared" si="29"/>
        <v>2.5132741228718346E-2</v>
      </c>
      <c r="M82" s="3">
        <f t="shared" si="30"/>
        <v>329.64977274122873</v>
      </c>
      <c r="N82" s="9">
        <f t="shared" si="31"/>
        <v>0.10172019300498895</v>
      </c>
      <c r="O82" s="17">
        <f t="shared" si="32"/>
        <v>4.0000000000000001E-3</v>
      </c>
      <c r="P82" s="17">
        <f t="shared" si="33"/>
        <v>4.0000000000000001E-3</v>
      </c>
      <c r="Q82" s="17">
        <f t="shared" si="34"/>
        <v>8.0000000000000002E-3</v>
      </c>
      <c r="R82" s="10">
        <f t="shared" si="35"/>
        <v>2604.2332046557071</v>
      </c>
      <c r="S82" s="19">
        <f t="shared" si="36"/>
        <v>138024359.84675246</v>
      </c>
    </row>
    <row r="83" spans="5:19" x14ac:dyDescent="0.3">
      <c r="E83" s="1">
        <v>3.14</v>
      </c>
      <c r="F83" s="1">
        <v>82</v>
      </c>
      <c r="G83" s="1">
        <f t="shared" si="26"/>
        <v>21113.360000000001</v>
      </c>
      <c r="H83" s="1">
        <f t="shared" si="27"/>
        <v>514.96</v>
      </c>
      <c r="I83" s="1">
        <f t="shared" si="24"/>
        <v>121.95121951219512</v>
      </c>
      <c r="J83" s="1">
        <f t="shared" si="28"/>
        <v>0.2368168780336242</v>
      </c>
      <c r="K83" s="1">
        <f t="shared" si="25"/>
        <v>5000</v>
      </c>
      <c r="L83" s="1">
        <f t="shared" si="29"/>
        <v>2.5132741228718346E-2</v>
      </c>
      <c r="M83" s="3">
        <f t="shared" si="30"/>
        <v>337.83889274122873</v>
      </c>
      <c r="N83" s="9">
        <f t="shared" si="31"/>
        <v>0.10167849290686087</v>
      </c>
      <c r="O83" s="17">
        <f t="shared" si="32"/>
        <v>4.0000000000000001E-3</v>
      </c>
      <c r="P83" s="17">
        <f t="shared" si="33"/>
        <v>4.0000000000000001E-3</v>
      </c>
      <c r="Q83" s="17">
        <f t="shared" si="34"/>
        <v>8.0000000000000002E-3</v>
      </c>
      <c r="R83" s="10">
        <f t="shared" si="35"/>
        <v>2668.927252655707</v>
      </c>
      <c r="S83" s="19">
        <f t="shared" si="36"/>
        <v>141453144.39075246</v>
      </c>
    </row>
    <row r="84" spans="5:19" x14ac:dyDescent="0.3">
      <c r="E84" s="1">
        <v>3.14</v>
      </c>
      <c r="F84" s="1">
        <v>83</v>
      </c>
      <c r="G84" s="1">
        <f t="shared" si="26"/>
        <v>21631.46</v>
      </c>
      <c r="H84" s="1">
        <f t="shared" si="27"/>
        <v>521.24</v>
      </c>
      <c r="I84" s="1">
        <f t="shared" si="24"/>
        <v>120.48192771084338</v>
      </c>
      <c r="J84" s="1">
        <f t="shared" si="28"/>
        <v>0.23114482332676575</v>
      </c>
      <c r="K84" s="1">
        <f t="shared" si="25"/>
        <v>5000</v>
      </c>
      <c r="L84" s="1">
        <f t="shared" si="29"/>
        <v>2.5132741228718346E-2</v>
      </c>
      <c r="M84" s="3">
        <f t="shared" si="30"/>
        <v>346.12849274122874</v>
      </c>
      <c r="N84" s="9">
        <f t="shared" si="31"/>
        <v>0.10163829094291371</v>
      </c>
      <c r="O84" s="17">
        <f t="shared" si="32"/>
        <v>4.0000000000000001E-3</v>
      </c>
      <c r="P84" s="17">
        <f t="shared" si="33"/>
        <v>4.0000000000000001E-3</v>
      </c>
      <c r="Q84" s="17">
        <f t="shared" si="34"/>
        <v>8.0000000000000002E-3</v>
      </c>
      <c r="R84" s="10">
        <f t="shared" si="35"/>
        <v>2734.4150926557072</v>
      </c>
      <c r="S84" s="19">
        <f t="shared" si="36"/>
        <v>144923999.91075248</v>
      </c>
    </row>
    <row r="85" spans="5:19" x14ac:dyDescent="0.3">
      <c r="E85" s="1">
        <v>3.14</v>
      </c>
      <c r="F85" s="1">
        <v>84</v>
      </c>
      <c r="G85" s="1">
        <f t="shared" si="26"/>
        <v>22155.84</v>
      </c>
      <c r="H85" s="1">
        <f t="shared" si="27"/>
        <v>527.52</v>
      </c>
      <c r="I85" s="1">
        <f t="shared" si="24"/>
        <v>119.04761904761904</v>
      </c>
      <c r="J85" s="1">
        <f t="shared" si="28"/>
        <v>0.22567413377240492</v>
      </c>
      <c r="K85" s="1">
        <f t="shared" si="25"/>
        <v>5000</v>
      </c>
      <c r="L85" s="1">
        <f t="shared" si="29"/>
        <v>2.5132741228718346E-2</v>
      </c>
      <c r="M85" s="3">
        <f t="shared" si="30"/>
        <v>354.51857274122875</v>
      </c>
      <c r="N85" s="9">
        <f t="shared" si="31"/>
        <v>0.10159951619979203</v>
      </c>
      <c r="O85" s="17">
        <f t="shared" si="32"/>
        <v>4.0000000000000001E-3</v>
      </c>
      <c r="P85" s="17">
        <f t="shared" si="33"/>
        <v>4.0000000000000001E-3</v>
      </c>
      <c r="Q85" s="17">
        <f t="shared" si="34"/>
        <v>8.0000000000000002E-3</v>
      </c>
      <c r="R85" s="10">
        <f t="shared" si="35"/>
        <v>2800.6967246557074</v>
      </c>
      <c r="S85" s="19">
        <f t="shared" si="36"/>
        <v>148436926.4067525</v>
      </c>
    </row>
    <row r="86" spans="5:19" x14ac:dyDescent="0.3">
      <c r="E86" s="1">
        <v>3.14</v>
      </c>
      <c r="F86" s="1">
        <v>85</v>
      </c>
      <c r="G86" s="1">
        <f t="shared" si="26"/>
        <v>22686.5</v>
      </c>
      <c r="H86" s="1">
        <f t="shared" si="27"/>
        <v>533.80000000000007</v>
      </c>
      <c r="I86" s="1">
        <f t="shared" si="24"/>
        <v>117.64705882352943</v>
      </c>
      <c r="J86" s="1">
        <f t="shared" si="28"/>
        <v>0.22039538932845526</v>
      </c>
      <c r="K86" s="1">
        <f t="shared" si="25"/>
        <v>5000</v>
      </c>
      <c r="L86" s="1">
        <f t="shared" si="29"/>
        <v>2.5132741228718346E-2</v>
      </c>
      <c r="M86" s="3">
        <f t="shared" si="30"/>
        <v>363.00913274122871</v>
      </c>
      <c r="N86" s="9">
        <f t="shared" si="31"/>
        <v>0.10156210191082803</v>
      </c>
      <c r="O86" s="17">
        <f t="shared" si="32"/>
        <v>4.0000000000000001E-3</v>
      </c>
      <c r="P86" s="17">
        <f t="shared" si="33"/>
        <v>4.0000000000000001E-3</v>
      </c>
      <c r="Q86" s="17">
        <f t="shared" si="34"/>
        <v>8.0000000000000002E-3</v>
      </c>
      <c r="R86" s="10">
        <f t="shared" si="35"/>
        <v>2867.772148655707</v>
      </c>
      <c r="S86" s="19">
        <f t="shared" si="36"/>
        <v>151991923.87875247</v>
      </c>
    </row>
    <row r="87" spans="5:19" x14ac:dyDescent="0.3">
      <c r="E87" s="1">
        <v>3.14</v>
      </c>
      <c r="F87" s="1">
        <v>86</v>
      </c>
      <c r="G87" s="1">
        <f t="shared" si="26"/>
        <v>23223.440000000002</v>
      </c>
      <c r="H87" s="1">
        <f t="shared" si="27"/>
        <v>540.08000000000004</v>
      </c>
      <c r="I87" s="1">
        <f t="shared" si="24"/>
        <v>116.27906976744185</v>
      </c>
      <c r="J87" s="1">
        <f t="shared" si="28"/>
        <v>0.21529971442645876</v>
      </c>
      <c r="K87" s="1">
        <f t="shared" si="25"/>
        <v>5000</v>
      </c>
      <c r="L87" s="1">
        <f t="shared" si="29"/>
        <v>2.5132741228718346E-2</v>
      </c>
      <c r="M87" s="3">
        <f t="shared" si="30"/>
        <v>371.60017274122879</v>
      </c>
      <c r="N87" s="9">
        <f t="shared" si="31"/>
        <v>0.10152598516843328</v>
      </c>
      <c r="O87" s="17">
        <f t="shared" si="32"/>
        <v>4.0000000000000001E-3</v>
      </c>
      <c r="P87" s="17">
        <f t="shared" si="33"/>
        <v>4.0000000000000001E-3</v>
      </c>
      <c r="Q87" s="17">
        <f t="shared" si="34"/>
        <v>8.0000000000000002E-3</v>
      </c>
      <c r="R87" s="10">
        <f t="shared" si="35"/>
        <v>2935.6413646557075</v>
      </c>
      <c r="S87" s="19">
        <f t="shared" si="36"/>
        <v>155588992.32675251</v>
      </c>
    </row>
    <row r="88" spans="5:19" x14ac:dyDescent="0.3">
      <c r="E88" s="1">
        <v>3.14</v>
      </c>
      <c r="F88" s="1">
        <v>87</v>
      </c>
      <c r="G88" s="1">
        <f t="shared" si="26"/>
        <v>23766.66</v>
      </c>
      <c r="H88" s="1">
        <f t="shared" si="27"/>
        <v>546.36</v>
      </c>
      <c r="I88" s="1">
        <f t="shared" si="24"/>
        <v>114.94252873563218</v>
      </c>
      <c r="J88" s="1">
        <f t="shared" si="28"/>
        <v>0.21037874063919793</v>
      </c>
      <c r="K88" s="1">
        <f t="shared" si="25"/>
        <v>5000</v>
      </c>
      <c r="L88" s="1">
        <f t="shared" si="29"/>
        <v>2.5132741228718346E-2</v>
      </c>
      <c r="M88" s="3">
        <f t="shared" si="30"/>
        <v>380.29169274122876</v>
      </c>
      <c r="N88" s="9">
        <f t="shared" si="31"/>
        <v>0.10149110665949697</v>
      </c>
      <c r="O88" s="17">
        <f t="shared" si="32"/>
        <v>4.0000000000000001E-3</v>
      </c>
      <c r="P88" s="17">
        <f t="shared" si="33"/>
        <v>4.0000000000000001E-3</v>
      </c>
      <c r="Q88" s="17">
        <f t="shared" si="34"/>
        <v>8.0000000000000002E-3</v>
      </c>
      <c r="R88" s="10">
        <f t="shared" si="35"/>
        <v>3004.3043726557075</v>
      </c>
      <c r="S88" s="19">
        <f t="shared" si="36"/>
        <v>159228131.75075251</v>
      </c>
    </row>
    <row r="89" spans="5:19" x14ac:dyDescent="0.3">
      <c r="E89" s="1">
        <v>3.14</v>
      </c>
      <c r="F89" s="1">
        <v>88</v>
      </c>
      <c r="G89" s="1">
        <f t="shared" si="26"/>
        <v>24316.16</v>
      </c>
      <c r="H89" s="1">
        <f t="shared" si="27"/>
        <v>552.64</v>
      </c>
      <c r="I89" s="1">
        <f t="shared" si="24"/>
        <v>113.63636363636364</v>
      </c>
      <c r="J89" s="1">
        <f t="shared" si="28"/>
        <v>0.20562457230088962</v>
      </c>
      <c r="K89" s="1">
        <f t="shared" si="25"/>
        <v>5000</v>
      </c>
      <c r="L89" s="1">
        <f t="shared" si="29"/>
        <v>2.5132741228718346E-2</v>
      </c>
      <c r="M89" s="3">
        <f t="shared" si="30"/>
        <v>389.08369274122873</v>
      </c>
      <c r="N89" s="9">
        <f t="shared" si="31"/>
        <v>0.10145741042171133</v>
      </c>
      <c r="O89" s="17">
        <f t="shared" si="32"/>
        <v>4.0000000000000001E-3</v>
      </c>
      <c r="P89" s="17">
        <f t="shared" si="33"/>
        <v>4.0000000000000001E-3</v>
      </c>
      <c r="Q89" s="17">
        <f t="shared" si="34"/>
        <v>8.0000000000000002E-3</v>
      </c>
      <c r="R89" s="10">
        <f t="shared" si="35"/>
        <v>3073.761172655707</v>
      </c>
      <c r="S89" s="19">
        <f t="shared" si="36"/>
        <v>162909342.15075248</v>
      </c>
    </row>
    <row r="90" spans="5:19" x14ac:dyDescent="0.3">
      <c r="E90" s="1">
        <v>3.14</v>
      </c>
      <c r="F90" s="1">
        <v>89</v>
      </c>
      <c r="G90" s="1">
        <f t="shared" si="26"/>
        <v>24871.940000000002</v>
      </c>
      <c r="H90" s="1">
        <f t="shared" si="27"/>
        <v>558.92000000000007</v>
      </c>
      <c r="I90" s="1">
        <f t="shared" si="24"/>
        <v>112.35955056179776</v>
      </c>
      <c r="J90" s="1">
        <f t="shared" si="28"/>
        <v>0.20102975481606983</v>
      </c>
      <c r="K90" s="1">
        <f t="shared" si="25"/>
        <v>5000</v>
      </c>
      <c r="L90" s="1">
        <f t="shared" si="29"/>
        <v>2.5132741228718346E-2</v>
      </c>
      <c r="M90" s="3">
        <f t="shared" si="30"/>
        <v>397.97617274122877</v>
      </c>
      <c r="N90" s="9">
        <f t="shared" si="31"/>
        <v>0.10142484361895374</v>
      </c>
      <c r="O90" s="17">
        <f t="shared" si="32"/>
        <v>4.0000000000000001E-3</v>
      </c>
      <c r="P90" s="17">
        <f t="shared" si="33"/>
        <v>4.0000000000000001E-3</v>
      </c>
      <c r="Q90" s="17">
        <f t="shared" si="34"/>
        <v>8.0000000000000002E-3</v>
      </c>
      <c r="R90" s="10">
        <f t="shared" si="35"/>
        <v>3144.0117646557073</v>
      </c>
      <c r="S90" s="19">
        <f t="shared" si="36"/>
        <v>166632623.5267525</v>
      </c>
    </row>
    <row r="91" spans="5:19" x14ac:dyDescent="0.3">
      <c r="E91" s="1">
        <v>3.14</v>
      </c>
      <c r="F91" s="1">
        <v>90</v>
      </c>
      <c r="G91" s="1">
        <f t="shared" si="26"/>
        <v>25434</v>
      </c>
      <c r="H91" s="1">
        <f t="shared" si="27"/>
        <v>565.20000000000005</v>
      </c>
      <c r="I91" s="1">
        <f t="shared" si="24"/>
        <v>111.11111111111113</v>
      </c>
      <c r="J91" s="1">
        <f t="shared" si="28"/>
        <v>0.19658724541951719</v>
      </c>
      <c r="K91" s="1">
        <f t="shared" si="25"/>
        <v>5000</v>
      </c>
      <c r="L91" s="1">
        <f t="shared" si="29"/>
        <v>2.5132741228718346E-2</v>
      </c>
      <c r="M91" s="3">
        <f t="shared" si="30"/>
        <v>406.96913274122875</v>
      </c>
      <c r="N91" s="9">
        <f t="shared" si="31"/>
        <v>0.10139335633404105</v>
      </c>
      <c r="O91" s="17">
        <f t="shared" si="32"/>
        <v>4.0000000000000001E-3</v>
      </c>
      <c r="P91" s="17">
        <f t="shared" si="33"/>
        <v>4.0000000000000001E-3</v>
      </c>
      <c r="Q91" s="17">
        <f t="shared" si="34"/>
        <v>8.0000000000000002E-3</v>
      </c>
      <c r="R91" s="10">
        <f t="shared" si="35"/>
        <v>3215.0561486557071</v>
      </c>
      <c r="S91" s="19">
        <f t="shared" si="36"/>
        <v>170397975.87875247</v>
      </c>
    </row>
    <row r="92" spans="5:19" x14ac:dyDescent="0.3">
      <c r="E92" s="1">
        <v>3.14</v>
      </c>
      <c r="F92" s="1">
        <v>91</v>
      </c>
      <c r="G92" s="1">
        <f t="shared" si="26"/>
        <v>26002.34</v>
      </c>
      <c r="H92" s="1">
        <f t="shared" si="27"/>
        <v>571.48</v>
      </c>
      <c r="I92" s="1">
        <f t="shared" si="24"/>
        <v>109.8901098901099</v>
      </c>
      <c r="J92" s="1">
        <f t="shared" si="28"/>
        <v>0.19229038617293676</v>
      </c>
      <c r="K92" s="1">
        <f t="shared" si="25"/>
        <v>5000</v>
      </c>
      <c r="L92" s="1">
        <f t="shared" si="29"/>
        <v>2.5132741228718346E-2</v>
      </c>
      <c r="M92" s="3">
        <f t="shared" si="30"/>
        <v>416.06257274122873</v>
      </c>
      <c r="N92" s="9">
        <f t="shared" si="31"/>
        <v>0.10136290137733758</v>
      </c>
      <c r="O92" s="17">
        <f t="shared" si="32"/>
        <v>4.0000000000000001E-3</v>
      </c>
      <c r="P92" s="17">
        <f t="shared" si="33"/>
        <v>4.0000000000000001E-3</v>
      </c>
      <c r="Q92" s="17">
        <f t="shared" si="34"/>
        <v>8.0000000000000002E-3</v>
      </c>
      <c r="R92" s="10">
        <f t="shared" si="35"/>
        <v>3286.8943246557069</v>
      </c>
      <c r="S92" s="19">
        <f t="shared" si="36"/>
        <v>174205399.20675248</v>
      </c>
    </row>
    <row r="93" spans="5:19" x14ac:dyDescent="0.3">
      <c r="E93" s="1">
        <v>3.14</v>
      </c>
      <c r="F93" s="1">
        <v>92</v>
      </c>
      <c r="G93" s="1">
        <f t="shared" si="26"/>
        <v>26576.960000000003</v>
      </c>
      <c r="H93" s="1">
        <f t="shared" si="27"/>
        <v>577.76</v>
      </c>
      <c r="I93" s="1">
        <f t="shared" si="24"/>
        <v>108.69565217391303</v>
      </c>
      <c r="J93" s="1">
        <f t="shared" si="28"/>
        <v>0.18813287900497272</v>
      </c>
      <c r="K93" s="1">
        <f t="shared" si="25"/>
        <v>5000</v>
      </c>
      <c r="L93" s="1">
        <f t="shared" si="29"/>
        <v>2.5132741228718346E-2</v>
      </c>
      <c r="M93" s="3">
        <f t="shared" si="30"/>
        <v>425.25649274122878</v>
      </c>
      <c r="N93" s="9">
        <f t="shared" si="31"/>
        <v>0.10133343410984552</v>
      </c>
      <c r="O93" s="17">
        <f t="shared" si="32"/>
        <v>4.0000000000000001E-3</v>
      </c>
      <c r="P93" s="17">
        <f t="shared" si="33"/>
        <v>4.0000000000000001E-3</v>
      </c>
      <c r="Q93" s="17">
        <f t="shared" si="34"/>
        <v>8.0000000000000002E-3</v>
      </c>
      <c r="R93" s="10">
        <f t="shared" si="35"/>
        <v>3359.5262926557075</v>
      </c>
      <c r="S93" s="19">
        <f t="shared" si="36"/>
        <v>178054893.5107525</v>
      </c>
    </row>
    <row r="94" spans="5:19" x14ac:dyDescent="0.3">
      <c r="E94" s="1">
        <v>3.14</v>
      </c>
      <c r="F94" s="1">
        <v>93</v>
      </c>
      <c r="G94" s="1">
        <f t="shared" si="26"/>
        <v>27157.86</v>
      </c>
      <c r="H94" s="1">
        <f t="shared" si="27"/>
        <v>584.04000000000008</v>
      </c>
      <c r="I94" s="1">
        <f t="shared" si="24"/>
        <v>107.52688172043013</v>
      </c>
      <c r="J94" s="1">
        <f t="shared" si="28"/>
        <v>0.18410876261973513</v>
      </c>
      <c r="K94" s="1">
        <f t="shared" si="25"/>
        <v>5000</v>
      </c>
      <c r="L94" s="1">
        <f t="shared" si="29"/>
        <v>2.5132741228718346E-2</v>
      </c>
      <c r="M94" s="3">
        <f t="shared" si="30"/>
        <v>434.55089274122872</v>
      </c>
      <c r="N94" s="9">
        <f t="shared" si="31"/>
        <v>0.10130491227953897</v>
      </c>
      <c r="O94" s="17">
        <f t="shared" si="32"/>
        <v>4.0000000000000001E-3</v>
      </c>
      <c r="P94" s="17">
        <f t="shared" si="33"/>
        <v>4.0000000000000001E-3</v>
      </c>
      <c r="Q94" s="17">
        <f t="shared" si="34"/>
        <v>8.0000000000000002E-3</v>
      </c>
      <c r="R94" s="10">
        <f t="shared" si="35"/>
        <v>3432.9520526557071</v>
      </c>
      <c r="S94" s="19">
        <f t="shared" si="36"/>
        <v>181946458.79075247</v>
      </c>
    </row>
    <row r="95" spans="5:19" x14ac:dyDescent="0.3">
      <c r="E95" s="1">
        <v>3.14</v>
      </c>
      <c r="F95" s="1">
        <v>94</v>
      </c>
      <c r="G95" s="1">
        <f t="shared" si="26"/>
        <v>27745.040000000001</v>
      </c>
      <c r="H95" s="1">
        <f t="shared" si="27"/>
        <v>590.32000000000005</v>
      </c>
      <c r="I95" s="1">
        <f t="shared" si="24"/>
        <v>106.38297872340426</v>
      </c>
      <c r="J95" s="1">
        <f t="shared" si="28"/>
        <v>0.18021239111567328</v>
      </c>
      <c r="K95" s="1">
        <f t="shared" si="25"/>
        <v>5000</v>
      </c>
      <c r="L95" s="1">
        <f t="shared" si="29"/>
        <v>2.5132741228718346E-2</v>
      </c>
      <c r="M95" s="3">
        <f t="shared" si="30"/>
        <v>443.94577274122878</v>
      </c>
      <c r="N95" s="9">
        <f t="shared" si="31"/>
        <v>0.10127729586982034</v>
      </c>
      <c r="O95" s="17">
        <f t="shared" si="32"/>
        <v>4.0000000000000001E-3</v>
      </c>
      <c r="P95" s="17">
        <f t="shared" si="33"/>
        <v>4.0000000000000001E-3</v>
      </c>
      <c r="Q95" s="17">
        <f t="shared" si="34"/>
        <v>8.0000000000000002E-3</v>
      </c>
      <c r="R95" s="10">
        <f t="shared" si="35"/>
        <v>3507.1716046557071</v>
      </c>
      <c r="S95" s="19">
        <f t="shared" si="36"/>
        <v>185880095.04675248</v>
      </c>
    </row>
    <row r="96" spans="5:19" x14ac:dyDescent="0.3">
      <c r="E96" s="1">
        <v>3.14</v>
      </c>
      <c r="F96" s="1">
        <v>95</v>
      </c>
      <c r="G96" s="1">
        <f t="shared" si="26"/>
        <v>28338.5</v>
      </c>
      <c r="H96" s="1">
        <f t="shared" si="27"/>
        <v>596.6</v>
      </c>
      <c r="I96" s="1">
        <f t="shared" si="24"/>
        <v>105.26315789473684</v>
      </c>
      <c r="J96" s="1">
        <f t="shared" si="28"/>
        <v>0.17643841417153341</v>
      </c>
      <c r="K96" s="1">
        <f t="shared" si="25"/>
        <v>5000</v>
      </c>
      <c r="L96" s="1">
        <f t="shared" si="29"/>
        <v>2.5132741228718346E-2</v>
      </c>
      <c r="M96" s="3">
        <f t="shared" si="30"/>
        <v>453.44113274122873</v>
      </c>
      <c r="N96" s="9">
        <f t="shared" si="31"/>
        <v>0.10125054695908393</v>
      </c>
      <c r="O96" s="17">
        <f t="shared" si="32"/>
        <v>4.0000000000000001E-3</v>
      </c>
      <c r="P96" s="17">
        <f t="shared" si="33"/>
        <v>4.0000000000000001E-3</v>
      </c>
      <c r="Q96" s="17">
        <f t="shared" si="34"/>
        <v>8.0000000000000002E-3</v>
      </c>
      <c r="R96" s="10">
        <f t="shared" si="35"/>
        <v>3582.1849486557071</v>
      </c>
      <c r="S96" s="19">
        <f t="shared" si="36"/>
        <v>189855802.27875248</v>
      </c>
    </row>
    <row r="97" spans="5:19" x14ac:dyDescent="0.3">
      <c r="E97" s="1">
        <v>3.14</v>
      </c>
      <c r="F97" s="1">
        <v>96</v>
      </c>
      <c r="G97" s="1">
        <f t="shared" si="26"/>
        <v>28938.240000000002</v>
      </c>
      <c r="H97" s="1">
        <f t="shared" si="27"/>
        <v>602.88</v>
      </c>
      <c r="I97" s="1">
        <f t="shared" si="24"/>
        <v>104.16666666666667</v>
      </c>
      <c r="J97" s="1">
        <f t="shared" si="28"/>
        <v>0.17278175866949752</v>
      </c>
      <c r="K97" s="1">
        <f t="shared" si="25"/>
        <v>5000</v>
      </c>
      <c r="L97" s="1">
        <f t="shared" si="29"/>
        <v>2.5132741228718346E-2</v>
      </c>
      <c r="M97" s="3">
        <f t="shared" si="30"/>
        <v>463.03697274122879</v>
      </c>
      <c r="N97" s="9">
        <f t="shared" si="31"/>
        <v>0.10122462959046577</v>
      </c>
      <c r="O97" s="17">
        <f t="shared" si="32"/>
        <v>4.0000000000000001E-3</v>
      </c>
      <c r="P97" s="17">
        <f t="shared" si="33"/>
        <v>4.0000000000000001E-3</v>
      </c>
      <c r="Q97" s="17">
        <f t="shared" si="34"/>
        <v>8.0000000000000002E-3</v>
      </c>
      <c r="R97" s="10">
        <f t="shared" si="35"/>
        <v>3657.9920846557079</v>
      </c>
      <c r="S97" s="19">
        <f t="shared" si="36"/>
        <v>193873580.48675251</v>
      </c>
    </row>
    <row r="98" spans="5:19" x14ac:dyDescent="0.3">
      <c r="E98" s="1">
        <v>3.14</v>
      </c>
      <c r="F98" s="1">
        <v>97</v>
      </c>
      <c r="G98" s="1">
        <f t="shared" si="26"/>
        <v>29544.260000000002</v>
      </c>
      <c r="H98" s="1">
        <f t="shared" si="27"/>
        <v>609.16</v>
      </c>
      <c r="I98" s="1">
        <f t="shared" si="24"/>
        <v>103.09278350515463</v>
      </c>
      <c r="J98" s="1">
        <f t="shared" si="28"/>
        <v>0.16923761163759052</v>
      </c>
      <c r="K98" s="1">
        <f t="shared" si="25"/>
        <v>5000</v>
      </c>
      <c r="L98" s="1">
        <f t="shared" si="29"/>
        <v>2.5132741228718346E-2</v>
      </c>
      <c r="M98" s="3">
        <f t="shared" si="30"/>
        <v>472.73329274122875</v>
      </c>
      <c r="N98" s="9">
        <f t="shared" si="31"/>
        <v>0.10119950965094404</v>
      </c>
      <c r="O98" s="17">
        <f t="shared" si="32"/>
        <v>4.0000000000000001E-3</v>
      </c>
      <c r="P98" s="17">
        <f t="shared" si="33"/>
        <v>4.0000000000000001E-3</v>
      </c>
      <c r="Q98" s="17">
        <f t="shared" si="34"/>
        <v>8.0000000000000002E-3</v>
      </c>
      <c r="R98" s="10">
        <f t="shared" si="35"/>
        <v>3734.5930126557073</v>
      </c>
      <c r="S98" s="19">
        <f t="shared" si="36"/>
        <v>197933429.6707525</v>
      </c>
    </row>
    <row r="99" spans="5:19" x14ac:dyDescent="0.3">
      <c r="E99" s="1">
        <v>3.14</v>
      </c>
      <c r="F99" s="1">
        <v>98</v>
      </c>
      <c r="G99" s="1">
        <f t="shared" si="26"/>
        <v>30156.560000000001</v>
      </c>
      <c r="H99" s="1">
        <f t="shared" si="27"/>
        <v>615.44000000000005</v>
      </c>
      <c r="I99" s="1">
        <f t="shared" si="24"/>
        <v>102.04081632653062</v>
      </c>
      <c r="J99" s="1">
        <f t="shared" si="28"/>
        <v>0.16580140440421587</v>
      </c>
      <c r="K99" s="1">
        <f t="shared" si="25"/>
        <v>5000</v>
      </c>
      <c r="L99" s="1">
        <f t="shared" si="29"/>
        <v>2.5132741228718346E-2</v>
      </c>
      <c r="M99" s="3">
        <f t="shared" si="30"/>
        <v>482.53009274122877</v>
      </c>
      <c r="N99" s="9">
        <f t="shared" si="31"/>
        <v>0.10117515475903088</v>
      </c>
      <c r="O99" s="17">
        <f t="shared" si="32"/>
        <v>4.0000000000000001E-3</v>
      </c>
      <c r="P99" s="17">
        <f t="shared" si="33"/>
        <v>4.0000000000000001E-3</v>
      </c>
      <c r="Q99" s="17">
        <f t="shared" si="34"/>
        <v>8.0000000000000002E-3</v>
      </c>
      <c r="R99" s="10">
        <f t="shared" si="35"/>
        <v>3811.9877326557075</v>
      </c>
      <c r="S99" s="19">
        <f t="shared" si="36"/>
        <v>202035349.83075249</v>
      </c>
    </row>
    <row r="100" spans="5:19" x14ac:dyDescent="0.3">
      <c r="E100" s="1">
        <v>3.14</v>
      </c>
      <c r="F100" s="1">
        <v>99</v>
      </c>
      <c r="G100" s="1">
        <f t="shared" si="26"/>
        <v>30775.14</v>
      </c>
      <c r="H100" s="1">
        <f t="shared" si="27"/>
        <v>621.72</v>
      </c>
      <c r="I100" s="1">
        <f t="shared" si="24"/>
        <v>101.01010101010101</v>
      </c>
      <c r="J100" s="1">
        <f t="shared" si="28"/>
        <v>0.16246879786736956</v>
      </c>
      <c r="K100" s="1">
        <f t="shared" si="25"/>
        <v>5000</v>
      </c>
      <c r="L100" s="1">
        <f t="shared" si="29"/>
        <v>2.5132741228718346E-2</v>
      </c>
      <c r="M100" s="3">
        <f t="shared" si="30"/>
        <v>492.42737274122874</v>
      </c>
      <c r="N100" s="9">
        <f t="shared" si="31"/>
        <v>0.1011515341603645</v>
      </c>
      <c r="O100" s="17">
        <f t="shared" si="32"/>
        <v>4.0000000000000001E-3</v>
      </c>
      <c r="P100" s="17">
        <f t="shared" si="33"/>
        <v>4.0000000000000001E-3</v>
      </c>
      <c r="Q100" s="17">
        <f t="shared" si="34"/>
        <v>8.0000000000000002E-3</v>
      </c>
      <c r="R100" s="10">
        <f t="shared" si="35"/>
        <v>3890.1762446557068</v>
      </c>
      <c r="S100" s="19">
        <f t="shared" si="36"/>
        <v>206179340.96675247</v>
      </c>
    </row>
    <row r="101" spans="5:19" x14ac:dyDescent="0.3">
      <c r="E101" s="1">
        <v>3.14</v>
      </c>
      <c r="F101" s="1">
        <v>100</v>
      </c>
      <c r="G101" s="1">
        <f t="shared" si="26"/>
        <v>31400</v>
      </c>
      <c r="H101" s="1">
        <f t="shared" si="27"/>
        <v>628</v>
      </c>
      <c r="I101" s="1">
        <f t="shared" si="24"/>
        <v>100</v>
      </c>
      <c r="J101" s="1">
        <f t="shared" si="28"/>
        <v>0.15923566878980891</v>
      </c>
      <c r="K101" s="1">
        <f t="shared" si="25"/>
        <v>5000</v>
      </c>
      <c r="L101" s="1">
        <f t="shared" si="29"/>
        <v>2.5132741228718346E-2</v>
      </c>
      <c r="M101" s="3">
        <f t="shared" si="30"/>
        <v>502.42513274122877</v>
      </c>
      <c r="N101" s="9">
        <f t="shared" si="31"/>
        <v>0.10112861863057325</v>
      </c>
      <c r="O101" s="17">
        <f t="shared" si="32"/>
        <v>4.0000000000000001E-3</v>
      </c>
      <c r="P101" s="17">
        <f t="shared" si="33"/>
        <v>4.0000000000000001E-3</v>
      </c>
      <c r="Q101" s="17">
        <f t="shared" si="34"/>
        <v>8.0000000000000002E-3</v>
      </c>
      <c r="R101" s="10">
        <f t="shared" si="35"/>
        <v>3969.1585486557074</v>
      </c>
      <c r="S101" s="19">
        <f t="shared" si="36"/>
        <v>210365403.07875249</v>
      </c>
    </row>
    <row r="102" spans="5:19" x14ac:dyDescent="0.3">
      <c r="E102" s="1">
        <v>3.14</v>
      </c>
      <c r="F102" s="1">
        <v>101</v>
      </c>
      <c r="G102" s="1">
        <f t="shared" si="26"/>
        <v>32031.140000000003</v>
      </c>
      <c r="H102" s="1">
        <f t="shared" si="27"/>
        <v>634.28</v>
      </c>
      <c r="I102" s="1">
        <f t="shared" si="24"/>
        <v>99.009900990098998</v>
      </c>
      <c r="J102" s="1">
        <f t="shared" si="28"/>
        <v>0.1560980970393186</v>
      </c>
      <c r="K102" s="1">
        <f t="shared" si="25"/>
        <v>5000</v>
      </c>
      <c r="L102" s="1">
        <f t="shared" si="29"/>
        <v>2.5132741228718346E-2</v>
      </c>
      <c r="M102" s="3">
        <f t="shared" si="30"/>
        <v>512.52337274122874</v>
      </c>
      <c r="N102" s="9">
        <f t="shared" si="31"/>
        <v>0.101106380384838</v>
      </c>
      <c r="O102" s="17">
        <f t="shared" si="32"/>
        <v>4.0000000000000001E-3</v>
      </c>
      <c r="P102" s="17">
        <f t="shared" si="33"/>
        <v>4.0000000000000001E-3</v>
      </c>
      <c r="Q102" s="17">
        <f t="shared" si="34"/>
        <v>8.0000000000000002E-3</v>
      </c>
      <c r="R102" s="10">
        <f t="shared" si="35"/>
        <v>4048.934644655707</v>
      </c>
      <c r="S102" s="19">
        <f t="shared" si="36"/>
        <v>214593536.16675246</v>
      </c>
    </row>
    <row r="103" spans="5:19" x14ac:dyDescent="0.3">
      <c r="E103" s="1">
        <v>3.14</v>
      </c>
      <c r="F103" s="1">
        <v>102</v>
      </c>
      <c r="G103" s="1">
        <f t="shared" si="26"/>
        <v>32668.560000000001</v>
      </c>
      <c r="H103" s="1">
        <f t="shared" si="27"/>
        <v>640.56000000000006</v>
      </c>
      <c r="I103" s="1">
        <f t="shared" si="24"/>
        <v>98.039215686274517</v>
      </c>
      <c r="J103" s="1">
        <f t="shared" si="28"/>
        <v>0.15305235370031614</v>
      </c>
      <c r="K103" s="1">
        <f t="shared" si="25"/>
        <v>5000</v>
      </c>
      <c r="L103" s="1">
        <f t="shared" si="29"/>
        <v>2.5132741228718346E-2</v>
      </c>
      <c r="M103" s="3">
        <f t="shared" si="30"/>
        <v>522.72209274122872</v>
      </c>
      <c r="N103" s="9">
        <f t="shared" si="31"/>
        <v>0.10108479299363057</v>
      </c>
      <c r="O103" s="17">
        <f t="shared" si="32"/>
        <v>4.0000000000000001E-3</v>
      </c>
      <c r="P103" s="17">
        <f t="shared" si="33"/>
        <v>4.0000000000000001E-3</v>
      </c>
      <c r="Q103" s="17">
        <f t="shared" si="34"/>
        <v>8.0000000000000002E-3</v>
      </c>
      <c r="R103" s="10">
        <f t="shared" si="35"/>
        <v>4129.5045326557074</v>
      </c>
      <c r="S103" s="19">
        <f t="shared" si="36"/>
        <v>218863740.2307525</v>
      </c>
    </row>
    <row r="104" spans="5:19" x14ac:dyDescent="0.3">
      <c r="E104" s="1">
        <v>3.14</v>
      </c>
      <c r="F104" s="1">
        <v>103</v>
      </c>
      <c r="G104" s="1">
        <f t="shared" si="26"/>
        <v>33312.26</v>
      </c>
      <c r="H104" s="1">
        <f t="shared" si="27"/>
        <v>646.84</v>
      </c>
      <c r="I104" s="1">
        <f t="shared" si="24"/>
        <v>97.087378640776706</v>
      </c>
      <c r="J104" s="1">
        <f t="shared" si="28"/>
        <v>0.15009488998945134</v>
      </c>
      <c r="K104" s="1">
        <f t="shared" si="25"/>
        <v>5000</v>
      </c>
      <c r="L104" s="1">
        <f t="shared" si="29"/>
        <v>2.5132741228718346E-2</v>
      </c>
      <c r="M104" s="3">
        <f t="shared" si="30"/>
        <v>533.02129274122876</v>
      </c>
      <c r="N104" s="9">
        <f t="shared" si="31"/>
        <v>0.10106383130415049</v>
      </c>
      <c r="O104" s="17">
        <f t="shared" si="32"/>
        <v>4.0000000000000001E-3</v>
      </c>
      <c r="P104" s="17">
        <f t="shared" si="33"/>
        <v>4.0000000000000001E-3</v>
      </c>
      <c r="Q104" s="17">
        <f t="shared" si="34"/>
        <v>8.0000000000000002E-3</v>
      </c>
      <c r="R104" s="10">
        <f t="shared" si="35"/>
        <v>4210.8682126557078</v>
      </c>
      <c r="S104" s="19">
        <f t="shared" si="36"/>
        <v>223176015.27075252</v>
      </c>
    </row>
    <row r="105" spans="5:19" x14ac:dyDescent="0.3">
      <c r="E105" s="1">
        <v>3.14</v>
      </c>
      <c r="F105" s="1">
        <v>104</v>
      </c>
      <c r="G105" s="1">
        <f t="shared" si="26"/>
        <v>33962.239999999998</v>
      </c>
      <c r="H105" s="1">
        <f t="shared" si="27"/>
        <v>653.12</v>
      </c>
      <c r="I105" s="1">
        <f t="shared" si="24"/>
        <v>96.15384615384616</v>
      </c>
      <c r="J105" s="1">
        <f t="shared" si="28"/>
        <v>0.14722232691365469</v>
      </c>
      <c r="K105" s="1">
        <f t="shared" si="25"/>
        <v>5000</v>
      </c>
      <c r="L105" s="1">
        <f t="shared" si="29"/>
        <v>2.5132741228718346E-2</v>
      </c>
      <c r="M105" s="3">
        <f t="shared" si="30"/>
        <v>543.42097274122875</v>
      </c>
      <c r="N105" s="9">
        <f t="shared" si="31"/>
        <v>0.10104347136702409</v>
      </c>
      <c r="O105" s="17">
        <f t="shared" si="32"/>
        <v>4.0000000000000001E-3</v>
      </c>
      <c r="P105" s="17">
        <f t="shared" si="33"/>
        <v>4.0000000000000001E-3</v>
      </c>
      <c r="Q105" s="17">
        <f t="shared" si="34"/>
        <v>8.0000000000000002E-3</v>
      </c>
      <c r="R105" s="10">
        <f t="shared" si="35"/>
        <v>4293.0256846557077</v>
      </c>
      <c r="S105" s="19">
        <f t="shared" si="36"/>
        <v>227530361.28675249</v>
      </c>
    </row>
    <row r="106" spans="5:19" x14ac:dyDescent="0.3">
      <c r="E106" s="1">
        <v>3.14</v>
      </c>
      <c r="F106" s="1">
        <v>105</v>
      </c>
      <c r="G106" s="1">
        <f t="shared" si="26"/>
        <v>34618.5</v>
      </c>
      <c r="H106" s="1">
        <f t="shared" si="27"/>
        <v>659.4</v>
      </c>
      <c r="I106" s="1">
        <f t="shared" si="24"/>
        <v>95.238095238095241</v>
      </c>
      <c r="J106" s="1">
        <f t="shared" si="28"/>
        <v>0.14443144561433915</v>
      </c>
      <c r="K106" s="1">
        <f t="shared" si="25"/>
        <v>5000</v>
      </c>
      <c r="L106" s="1">
        <f t="shared" si="29"/>
        <v>2.5132741228718346E-2</v>
      </c>
      <c r="M106" s="3">
        <f t="shared" si="30"/>
        <v>553.92113274122869</v>
      </c>
      <c r="N106" s="9">
        <f t="shared" si="31"/>
        <v>0.1010236903678669</v>
      </c>
      <c r="O106" s="17">
        <f t="shared" si="32"/>
        <v>4.0000000000000001E-3</v>
      </c>
      <c r="P106" s="17">
        <f t="shared" si="33"/>
        <v>4.0000000000000001E-3</v>
      </c>
      <c r="Q106" s="17">
        <f t="shared" si="34"/>
        <v>8.0000000000000002E-3</v>
      </c>
      <c r="R106" s="10">
        <f t="shared" si="35"/>
        <v>4375.976948655707</v>
      </c>
      <c r="S106" s="19">
        <f t="shared" si="36"/>
        <v>231926778.27875248</v>
      </c>
    </row>
    <row r="107" spans="5:19" x14ac:dyDescent="0.3">
      <c r="E107" s="1">
        <v>3.14</v>
      </c>
      <c r="F107" s="1">
        <v>106</v>
      </c>
      <c r="G107" s="1">
        <f t="shared" si="26"/>
        <v>35281.040000000001</v>
      </c>
      <c r="H107" s="1">
        <f t="shared" si="27"/>
        <v>665.68000000000006</v>
      </c>
      <c r="I107" s="1">
        <f t="shared" si="24"/>
        <v>94.33962264150945</v>
      </c>
      <c r="J107" s="1">
        <f t="shared" si="28"/>
        <v>0.14171917834621656</v>
      </c>
      <c r="K107" s="1">
        <f t="shared" si="25"/>
        <v>5000</v>
      </c>
      <c r="L107" s="1">
        <f t="shared" si="29"/>
        <v>2.5132741228718346E-2</v>
      </c>
      <c r="M107" s="3">
        <f t="shared" si="30"/>
        <v>564.5217727412288</v>
      </c>
      <c r="N107" s="9">
        <f t="shared" si="31"/>
        <v>0.10100446656334394</v>
      </c>
      <c r="O107" s="17">
        <f t="shared" si="32"/>
        <v>4.0000000000000001E-3</v>
      </c>
      <c r="P107" s="17">
        <f t="shared" si="33"/>
        <v>4.0000000000000001E-3</v>
      </c>
      <c r="Q107" s="17">
        <f t="shared" si="34"/>
        <v>8.0000000000000002E-3</v>
      </c>
      <c r="R107" s="10">
        <f t="shared" si="35"/>
        <v>4459.7220046557077</v>
      </c>
      <c r="S107" s="19">
        <f t="shared" si="36"/>
        <v>236365266.2467525</v>
      </c>
    </row>
    <row r="108" spans="5:19" x14ac:dyDescent="0.3">
      <c r="E108" s="1">
        <v>3.14</v>
      </c>
      <c r="F108" s="1">
        <v>107</v>
      </c>
      <c r="G108" s="1">
        <f t="shared" si="26"/>
        <v>35949.86</v>
      </c>
      <c r="H108" s="1">
        <f t="shared" si="27"/>
        <v>671.96</v>
      </c>
      <c r="I108" s="1">
        <f t="shared" si="24"/>
        <v>93.45794392523365</v>
      </c>
      <c r="J108" s="1">
        <f t="shared" si="28"/>
        <v>0.13908260004350503</v>
      </c>
      <c r="K108" s="1">
        <f t="shared" si="25"/>
        <v>5000</v>
      </c>
      <c r="L108" s="1">
        <f t="shared" si="29"/>
        <v>2.5132741228718346E-2</v>
      </c>
      <c r="M108" s="3">
        <f t="shared" si="30"/>
        <v>575.22289274122875</v>
      </c>
      <c r="N108" s="9">
        <f t="shared" si="31"/>
        <v>0.10098577922139336</v>
      </c>
      <c r="O108" s="17">
        <f t="shared" si="32"/>
        <v>4.0000000000000001E-3</v>
      </c>
      <c r="P108" s="17">
        <f t="shared" si="33"/>
        <v>4.0000000000000001E-3</v>
      </c>
      <c r="Q108" s="17">
        <f t="shared" si="34"/>
        <v>8.0000000000000002E-3</v>
      </c>
      <c r="R108" s="10">
        <f t="shared" si="35"/>
        <v>4544.2608526557069</v>
      </c>
      <c r="S108" s="19">
        <f t="shared" si="36"/>
        <v>240845825.19075248</v>
      </c>
    </row>
    <row r="109" spans="5:19" x14ac:dyDescent="0.3">
      <c r="E109" s="1">
        <v>3.14</v>
      </c>
      <c r="F109" s="1">
        <v>108</v>
      </c>
      <c r="G109" s="1">
        <f t="shared" si="26"/>
        <v>36624.959999999999</v>
      </c>
      <c r="H109" s="1">
        <f t="shared" si="27"/>
        <v>678.24</v>
      </c>
      <c r="I109" s="1">
        <f t="shared" si="24"/>
        <v>92.592592592592595</v>
      </c>
      <c r="J109" s="1">
        <f t="shared" si="28"/>
        <v>0.13651892043022026</v>
      </c>
      <c r="K109" s="1">
        <f t="shared" si="25"/>
        <v>5000</v>
      </c>
      <c r="L109" s="1">
        <f t="shared" si="29"/>
        <v>2.5132741228718346E-2</v>
      </c>
      <c r="M109" s="3">
        <f t="shared" si="30"/>
        <v>586.02449274122876</v>
      </c>
      <c r="N109" s="9">
        <f t="shared" si="31"/>
        <v>0.10096760856530629</v>
      </c>
      <c r="O109" s="17">
        <f t="shared" si="32"/>
        <v>4.0000000000000001E-3</v>
      </c>
      <c r="P109" s="17">
        <f t="shared" si="33"/>
        <v>4.0000000000000001E-3</v>
      </c>
      <c r="Q109" s="17">
        <f t="shared" si="34"/>
        <v>8.0000000000000002E-3</v>
      </c>
      <c r="R109" s="10">
        <f t="shared" si="35"/>
        <v>4629.5934926557075</v>
      </c>
      <c r="S109" s="19">
        <f t="shared" si="36"/>
        <v>245368455.11075249</v>
      </c>
    </row>
    <row r="110" spans="5:19" x14ac:dyDescent="0.3">
      <c r="E110" s="1">
        <v>3.14</v>
      </c>
      <c r="F110" s="1">
        <v>109</v>
      </c>
      <c r="G110" s="1">
        <f t="shared" si="26"/>
        <v>37306.340000000004</v>
      </c>
      <c r="H110" s="1">
        <f t="shared" si="27"/>
        <v>684.52</v>
      </c>
      <c r="I110" s="1">
        <f t="shared" si="24"/>
        <v>91.743119266055032</v>
      </c>
      <c r="J110" s="1">
        <f t="shared" si="28"/>
        <v>0.13402547663480255</v>
      </c>
      <c r="K110" s="1">
        <f t="shared" si="25"/>
        <v>5000</v>
      </c>
      <c r="L110" s="1">
        <f t="shared" si="29"/>
        <v>2.5132741228718346E-2</v>
      </c>
      <c r="M110" s="3">
        <f t="shared" si="30"/>
        <v>596.92657274122882</v>
      </c>
      <c r="N110" s="9">
        <f t="shared" si="31"/>
        <v>0.10094993572138142</v>
      </c>
      <c r="O110" s="17">
        <f t="shared" si="32"/>
        <v>4.0000000000000001E-3</v>
      </c>
      <c r="P110" s="17">
        <f t="shared" si="33"/>
        <v>4.0000000000000001E-3</v>
      </c>
      <c r="Q110" s="17">
        <f t="shared" si="34"/>
        <v>8.0000000000000002E-3</v>
      </c>
      <c r="R110" s="10">
        <f t="shared" si="35"/>
        <v>4715.7199246557075</v>
      </c>
      <c r="S110" s="19">
        <f t="shared" si="36"/>
        <v>249933156.00675249</v>
      </c>
    </row>
    <row r="111" spans="5:19" x14ac:dyDescent="0.3">
      <c r="E111" s="1">
        <v>3.14</v>
      </c>
      <c r="F111" s="1">
        <v>110</v>
      </c>
      <c r="G111" s="1">
        <f t="shared" si="26"/>
        <v>37994</v>
      </c>
      <c r="H111" s="1">
        <f t="shared" si="27"/>
        <v>690.80000000000007</v>
      </c>
      <c r="I111" s="1">
        <f t="shared" si="24"/>
        <v>90.909090909090921</v>
      </c>
      <c r="J111" s="1">
        <f t="shared" si="28"/>
        <v>0.13159972627256936</v>
      </c>
      <c r="K111" s="1">
        <f t="shared" si="25"/>
        <v>5000</v>
      </c>
      <c r="L111" s="1">
        <f t="shared" si="29"/>
        <v>2.5132741228718346E-2</v>
      </c>
      <c r="M111" s="3">
        <f t="shared" si="30"/>
        <v>607.92913274122873</v>
      </c>
      <c r="N111" s="9">
        <f t="shared" si="31"/>
        <v>0.10093274266989526</v>
      </c>
      <c r="O111" s="17">
        <f t="shared" si="32"/>
        <v>4.0000000000000001E-3</v>
      </c>
      <c r="P111" s="17">
        <f t="shared" si="33"/>
        <v>4.0000000000000001E-3</v>
      </c>
      <c r="Q111" s="17">
        <f t="shared" si="34"/>
        <v>8.0000000000000002E-3</v>
      </c>
      <c r="R111" s="10">
        <f t="shared" si="35"/>
        <v>4802.640148655707</v>
      </c>
      <c r="S111" s="19">
        <f t="shared" si="36"/>
        <v>254539927.87875247</v>
      </c>
    </row>
    <row r="112" spans="5:19" x14ac:dyDescent="0.3">
      <c r="E112" s="1">
        <v>3.14</v>
      </c>
      <c r="F112" s="1">
        <v>111</v>
      </c>
      <c r="G112" s="1">
        <f t="shared" si="26"/>
        <v>38687.94</v>
      </c>
      <c r="H112" s="1">
        <f t="shared" si="27"/>
        <v>697.08</v>
      </c>
      <c r="I112" s="1">
        <f t="shared" si="24"/>
        <v>90.090090090090087</v>
      </c>
      <c r="J112" s="1">
        <f t="shared" si="28"/>
        <v>0.12923924096242911</v>
      </c>
      <c r="K112" s="1">
        <f t="shared" si="25"/>
        <v>5000</v>
      </c>
      <c r="L112" s="1">
        <f t="shared" si="29"/>
        <v>2.5132741228718346E-2</v>
      </c>
      <c r="M112" s="3">
        <f t="shared" si="30"/>
        <v>619.03217274122881</v>
      </c>
      <c r="N112" s="9">
        <f t="shared" si="31"/>
        <v>0.10091601219915043</v>
      </c>
      <c r="O112" s="17">
        <f t="shared" si="32"/>
        <v>4.0000000000000001E-3</v>
      </c>
      <c r="P112" s="17">
        <f t="shared" si="33"/>
        <v>4.0000000000000001E-3</v>
      </c>
      <c r="Q112" s="17">
        <f t="shared" si="34"/>
        <v>8.0000000000000002E-3</v>
      </c>
      <c r="R112" s="10">
        <f t="shared" si="35"/>
        <v>4890.3541646557078</v>
      </c>
      <c r="S112" s="19">
        <f t="shared" si="36"/>
        <v>259188770.72675252</v>
      </c>
    </row>
    <row r="113" spans="5:19" x14ac:dyDescent="0.3">
      <c r="E113" s="1">
        <v>3.14</v>
      </c>
      <c r="F113" s="1">
        <v>112</v>
      </c>
      <c r="G113" s="1">
        <f t="shared" si="26"/>
        <v>39388.160000000003</v>
      </c>
      <c r="H113" s="1">
        <f t="shared" si="27"/>
        <v>703.36</v>
      </c>
      <c r="I113" s="1">
        <f t="shared" si="24"/>
        <v>89.285714285714278</v>
      </c>
      <c r="J113" s="1">
        <f t="shared" si="28"/>
        <v>0.12694170024697776</v>
      </c>
      <c r="K113" s="1">
        <f t="shared" si="25"/>
        <v>5000</v>
      </c>
      <c r="L113" s="1">
        <f t="shared" si="29"/>
        <v>2.5132741228718346E-2</v>
      </c>
      <c r="M113" s="3">
        <f t="shared" si="30"/>
        <v>630.23569274122883</v>
      </c>
      <c r="N113" s="9">
        <f t="shared" si="31"/>
        <v>0.10089972786238302</v>
      </c>
      <c r="O113" s="17">
        <f t="shared" si="32"/>
        <v>4.0000000000000001E-3</v>
      </c>
      <c r="P113" s="17">
        <f t="shared" si="33"/>
        <v>4.0000000000000001E-3</v>
      </c>
      <c r="Q113" s="17">
        <f t="shared" si="34"/>
        <v>8.0000000000000002E-3</v>
      </c>
      <c r="R113" s="10">
        <f t="shared" si="35"/>
        <v>4978.8619726557081</v>
      </c>
      <c r="S113" s="19">
        <f t="shared" si="36"/>
        <v>263879684.55075252</v>
      </c>
    </row>
    <row r="114" spans="5:19" x14ac:dyDescent="0.3">
      <c r="E114" s="1">
        <v>3.14</v>
      </c>
      <c r="F114" s="1">
        <v>113</v>
      </c>
      <c r="G114" s="1">
        <f t="shared" si="26"/>
        <v>40094.660000000003</v>
      </c>
      <c r="H114" s="1">
        <f t="shared" si="27"/>
        <v>709.64</v>
      </c>
      <c r="I114" s="1">
        <f t="shared" si="24"/>
        <v>88.495575221238923</v>
      </c>
      <c r="J114" s="1">
        <f t="shared" si="28"/>
        <v>0.12470488588754711</v>
      </c>
      <c r="K114" s="1">
        <f t="shared" si="25"/>
        <v>5000</v>
      </c>
      <c r="L114" s="1">
        <f t="shared" si="29"/>
        <v>2.5132741228718346E-2</v>
      </c>
      <c r="M114" s="3">
        <f t="shared" si="30"/>
        <v>641.53969274122881</v>
      </c>
      <c r="N114" s="9">
        <f t="shared" si="31"/>
        <v>0.10088387393732733</v>
      </c>
      <c r="O114" s="17">
        <f t="shared" si="32"/>
        <v>4.0000000000000001E-3</v>
      </c>
      <c r="P114" s="17">
        <f t="shared" si="33"/>
        <v>4.0000000000000001E-3</v>
      </c>
      <c r="Q114" s="17">
        <f t="shared" si="34"/>
        <v>8.0000000000000002E-3</v>
      </c>
      <c r="R114" s="10">
        <f t="shared" si="35"/>
        <v>5068.1635726557079</v>
      </c>
      <c r="S114" s="19">
        <f t="shared" si="36"/>
        <v>268612669.35075253</v>
      </c>
    </row>
    <row r="115" spans="5:19" x14ac:dyDescent="0.3">
      <c r="E115" s="1">
        <v>3.14</v>
      </c>
      <c r="F115" s="1">
        <v>114</v>
      </c>
      <c r="G115" s="1">
        <f t="shared" si="26"/>
        <v>40807.440000000002</v>
      </c>
      <c r="H115" s="1">
        <f t="shared" si="27"/>
        <v>715.92000000000007</v>
      </c>
      <c r="I115" s="1">
        <f t="shared" si="24"/>
        <v>87.719298245614041</v>
      </c>
      <c r="J115" s="1">
        <f t="shared" si="28"/>
        <v>0.12252667650800932</v>
      </c>
      <c r="K115" s="1">
        <f t="shared" si="25"/>
        <v>5000</v>
      </c>
      <c r="L115" s="1">
        <f t="shared" si="29"/>
        <v>2.5132741228718346E-2</v>
      </c>
      <c r="M115" s="3">
        <f t="shared" si="30"/>
        <v>652.94417274122873</v>
      </c>
      <c r="N115" s="9">
        <f t="shared" si="31"/>
        <v>0.10086843538825274</v>
      </c>
      <c r="O115" s="17">
        <f t="shared" si="32"/>
        <v>4.0000000000000001E-3</v>
      </c>
      <c r="P115" s="17">
        <f t="shared" si="33"/>
        <v>4.0000000000000001E-3</v>
      </c>
      <c r="Q115" s="17">
        <f t="shared" si="34"/>
        <v>8.0000000000000002E-3</v>
      </c>
      <c r="R115" s="10">
        <f t="shared" si="35"/>
        <v>5158.2589646557071</v>
      </c>
      <c r="S115" s="19">
        <f t="shared" si="36"/>
        <v>273387725.1267525</v>
      </c>
    </row>
    <row r="116" spans="5:19" x14ac:dyDescent="0.3">
      <c r="E116" s="1">
        <v>3.14</v>
      </c>
      <c r="F116" s="1">
        <v>115</v>
      </c>
      <c r="G116" s="1">
        <f t="shared" si="26"/>
        <v>41526.5</v>
      </c>
      <c r="H116" s="1">
        <f t="shared" si="27"/>
        <v>722.2</v>
      </c>
      <c r="I116" s="1">
        <f t="shared" si="24"/>
        <v>86.956521739130437</v>
      </c>
      <c r="J116" s="1">
        <f t="shared" si="28"/>
        <v>0.12040504256318255</v>
      </c>
      <c r="K116" s="1">
        <f t="shared" si="25"/>
        <v>5000</v>
      </c>
      <c r="L116" s="1">
        <f t="shared" si="29"/>
        <v>2.5132741228718346E-2</v>
      </c>
      <c r="M116" s="3">
        <f t="shared" si="30"/>
        <v>664.44913274122871</v>
      </c>
      <c r="N116" s="9">
        <f t="shared" si="31"/>
        <v>0.10085339783030114</v>
      </c>
      <c r="O116" s="17">
        <f t="shared" si="32"/>
        <v>4.0000000000000001E-3</v>
      </c>
      <c r="P116" s="17">
        <f t="shared" si="33"/>
        <v>4.0000000000000001E-3</v>
      </c>
      <c r="Q116" s="17">
        <f t="shared" si="34"/>
        <v>8.0000000000000002E-3</v>
      </c>
      <c r="R116" s="10">
        <f t="shared" si="35"/>
        <v>5249.1481486557068</v>
      </c>
      <c r="S116" s="19">
        <f t="shared" si="36"/>
        <v>278204851.87875247</v>
      </c>
    </row>
    <row r="117" spans="5:19" x14ac:dyDescent="0.3">
      <c r="E117" s="1">
        <v>3.14</v>
      </c>
      <c r="F117" s="1">
        <v>116</v>
      </c>
      <c r="G117" s="1">
        <f t="shared" si="26"/>
        <v>42251.840000000004</v>
      </c>
      <c r="H117" s="1">
        <f t="shared" si="27"/>
        <v>728.48</v>
      </c>
      <c r="I117" s="1">
        <f t="shared" si="24"/>
        <v>86.206896551724142</v>
      </c>
      <c r="J117" s="1">
        <f t="shared" si="28"/>
        <v>0.11833804160954883</v>
      </c>
      <c r="K117" s="1">
        <f t="shared" si="25"/>
        <v>5000</v>
      </c>
      <c r="L117" s="1">
        <f t="shared" si="29"/>
        <v>2.5132741228718346E-2</v>
      </c>
      <c r="M117" s="3">
        <f t="shared" si="30"/>
        <v>676.05457274122875</v>
      </c>
      <c r="N117" s="9">
        <f t="shared" si="31"/>
        <v>0.10083874749596705</v>
      </c>
      <c r="O117" s="17">
        <f t="shared" si="32"/>
        <v>4.0000000000000001E-3</v>
      </c>
      <c r="P117" s="17">
        <f t="shared" si="33"/>
        <v>4.0000000000000001E-3</v>
      </c>
      <c r="Q117" s="17">
        <f t="shared" si="34"/>
        <v>8.0000000000000002E-3</v>
      </c>
      <c r="R117" s="10">
        <f t="shared" si="35"/>
        <v>5340.8311246557068</v>
      </c>
      <c r="S117" s="19">
        <f t="shared" si="36"/>
        <v>283064049.60675246</v>
      </c>
    </row>
    <row r="118" spans="5:19" x14ac:dyDescent="0.3">
      <c r="E118" s="1">
        <v>3.14</v>
      </c>
      <c r="F118" s="1">
        <v>117</v>
      </c>
      <c r="G118" s="1">
        <f t="shared" si="26"/>
        <v>42983.46</v>
      </c>
      <c r="H118" s="1">
        <f t="shared" si="27"/>
        <v>734.76</v>
      </c>
      <c r="I118" s="1">
        <f t="shared" si="24"/>
        <v>85.470085470085465</v>
      </c>
      <c r="J118" s="1">
        <f t="shared" si="28"/>
        <v>0.11632381385770248</v>
      </c>
      <c r="K118" s="1">
        <f t="shared" si="25"/>
        <v>5000</v>
      </c>
      <c r="L118" s="1">
        <f t="shared" si="29"/>
        <v>2.5132741228718346E-2</v>
      </c>
      <c r="M118" s="3">
        <f t="shared" si="30"/>
        <v>687.76049274122875</v>
      </c>
      <c r="N118" s="9">
        <f t="shared" si="31"/>
        <v>0.10082447120357459</v>
      </c>
      <c r="O118" s="17">
        <f t="shared" si="32"/>
        <v>4.0000000000000001E-3</v>
      </c>
      <c r="P118" s="17">
        <f t="shared" si="33"/>
        <v>4.0000000000000001E-3</v>
      </c>
      <c r="Q118" s="17">
        <f t="shared" si="34"/>
        <v>8.0000000000000002E-3</v>
      </c>
      <c r="R118" s="10">
        <f t="shared" si="35"/>
        <v>5433.3078926557073</v>
      </c>
      <c r="S118" s="19">
        <f t="shared" si="36"/>
        <v>287965318.31075251</v>
      </c>
    </row>
    <row r="119" spans="5:19" x14ac:dyDescent="0.3">
      <c r="E119" s="1">
        <v>3.14</v>
      </c>
      <c r="F119" s="1">
        <v>118</v>
      </c>
      <c r="G119" s="1">
        <f t="shared" si="26"/>
        <v>43721.36</v>
      </c>
      <c r="H119" s="1">
        <f t="shared" si="27"/>
        <v>741.04000000000008</v>
      </c>
      <c r="I119" s="1">
        <f t="shared" si="24"/>
        <v>84.745762711864415</v>
      </c>
      <c r="J119" s="1">
        <f t="shared" si="28"/>
        <v>0.11436057798751</v>
      </c>
      <c r="K119" s="1">
        <f t="shared" si="25"/>
        <v>5000</v>
      </c>
      <c r="L119" s="1">
        <f t="shared" si="29"/>
        <v>2.5132741228718346E-2</v>
      </c>
      <c r="M119" s="3">
        <f t="shared" si="30"/>
        <v>699.5668927412288</v>
      </c>
      <c r="N119" s="9">
        <f t="shared" si="31"/>
        <v>0.10081055632761653</v>
      </c>
      <c r="O119" s="17">
        <f t="shared" si="32"/>
        <v>4.0000000000000001E-3</v>
      </c>
      <c r="P119" s="17">
        <f t="shared" si="33"/>
        <v>4.0000000000000001E-3</v>
      </c>
      <c r="Q119" s="17">
        <f t="shared" si="34"/>
        <v>8.0000000000000002E-3</v>
      </c>
      <c r="R119" s="10">
        <f t="shared" si="35"/>
        <v>5526.5784526557072</v>
      </c>
      <c r="S119" s="19">
        <f t="shared" si="36"/>
        <v>292908657.99075246</v>
      </c>
    </row>
    <row r="120" spans="5:19" x14ac:dyDescent="0.3">
      <c r="E120" s="1">
        <v>3.14</v>
      </c>
      <c r="F120" s="1">
        <v>119</v>
      </c>
      <c r="G120" s="1">
        <f t="shared" si="26"/>
        <v>44465.54</v>
      </c>
      <c r="H120" s="1">
        <f t="shared" si="27"/>
        <v>747.32</v>
      </c>
      <c r="I120" s="1">
        <f t="shared" si="24"/>
        <v>84.033613445378151</v>
      </c>
      <c r="J120" s="1">
        <f t="shared" si="28"/>
        <v>0.11244662720839553</v>
      </c>
      <c r="K120" s="1">
        <f t="shared" si="25"/>
        <v>5000</v>
      </c>
      <c r="L120" s="1">
        <f t="shared" si="29"/>
        <v>2.5132741228718346E-2</v>
      </c>
      <c r="M120" s="3">
        <f t="shared" si="30"/>
        <v>711.4737727412288</v>
      </c>
      <c r="N120" s="9">
        <f t="shared" si="31"/>
        <v>0.10079699077083062</v>
      </c>
      <c r="O120" s="17">
        <f t="shared" si="32"/>
        <v>4.0000000000000001E-3</v>
      </c>
      <c r="P120" s="17">
        <f t="shared" si="33"/>
        <v>4.0000000000000001E-3</v>
      </c>
      <c r="Q120" s="17">
        <f t="shared" si="34"/>
        <v>8.0000000000000002E-3</v>
      </c>
      <c r="R120" s="10">
        <f t="shared" si="35"/>
        <v>5620.6428046557076</v>
      </c>
      <c r="S120" s="19">
        <f t="shared" si="36"/>
        <v>297894068.64675248</v>
      </c>
    </row>
    <row r="121" spans="5:19" x14ac:dyDescent="0.3">
      <c r="E121" s="1">
        <v>3.14</v>
      </c>
      <c r="F121" s="1">
        <v>120</v>
      </c>
      <c r="G121" s="1">
        <f t="shared" si="26"/>
        <v>45216</v>
      </c>
      <c r="H121" s="1">
        <f t="shared" si="27"/>
        <v>753.6</v>
      </c>
      <c r="I121" s="1">
        <f t="shared" si="24"/>
        <v>83.333333333333329</v>
      </c>
      <c r="J121" s="1">
        <f t="shared" si="28"/>
        <v>0.11058032554847841</v>
      </c>
      <c r="K121" s="1">
        <f t="shared" si="25"/>
        <v>5000</v>
      </c>
      <c r="L121" s="1">
        <f t="shared" si="29"/>
        <v>2.5132741228718346E-2</v>
      </c>
      <c r="M121" s="3">
        <f t="shared" si="30"/>
        <v>723.48113274122875</v>
      </c>
      <c r="N121" s="9">
        <f t="shared" si="31"/>
        <v>0.10078376293789809</v>
      </c>
      <c r="O121" s="17">
        <f t="shared" si="32"/>
        <v>4.0000000000000001E-3</v>
      </c>
      <c r="P121" s="17">
        <f t="shared" si="33"/>
        <v>4.0000000000000001E-3</v>
      </c>
      <c r="Q121" s="17">
        <f t="shared" si="34"/>
        <v>8.0000000000000002E-3</v>
      </c>
      <c r="R121" s="10">
        <f t="shared" si="35"/>
        <v>5715.5009486557074</v>
      </c>
      <c r="S121" s="19">
        <f t="shared" si="36"/>
        <v>302921550.27875251</v>
      </c>
    </row>
    <row r="122" spans="5:19" x14ac:dyDescent="0.3">
      <c r="E122" s="1">
        <v>3.14</v>
      </c>
      <c r="F122" s="1">
        <v>121</v>
      </c>
      <c r="G122" s="1">
        <f t="shared" si="26"/>
        <v>45972.740000000005</v>
      </c>
      <c r="H122" s="1">
        <f t="shared" si="27"/>
        <v>759.88</v>
      </c>
      <c r="I122" s="1">
        <f t="shared" si="24"/>
        <v>82.644628099173545</v>
      </c>
      <c r="J122" s="1">
        <f t="shared" si="28"/>
        <v>0.10876010435749532</v>
      </c>
      <c r="K122" s="1">
        <f t="shared" si="25"/>
        <v>5000</v>
      </c>
      <c r="L122" s="1">
        <f t="shared" si="29"/>
        <v>2.5132741228718346E-2</v>
      </c>
      <c r="M122" s="3">
        <f t="shared" si="30"/>
        <v>735.58897274122887</v>
      </c>
      <c r="N122" s="9">
        <f t="shared" si="31"/>
        <v>0.10077086171065723</v>
      </c>
      <c r="O122" s="17">
        <f t="shared" si="32"/>
        <v>4.0000000000000001E-3</v>
      </c>
      <c r="P122" s="17">
        <f t="shared" si="33"/>
        <v>4.0000000000000001E-3</v>
      </c>
      <c r="Q122" s="17">
        <f t="shared" si="34"/>
        <v>8.0000000000000002E-3</v>
      </c>
      <c r="R122" s="10">
        <f t="shared" si="35"/>
        <v>5811.1528846557085</v>
      </c>
      <c r="S122" s="19">
        <f t="shared" si="36"/>
        <v>307991102.88675255</v>
      </c>
    </row>
    <row r="123" spans="5:19" x14ac:dyDescent="0.3">
      <c r="E123" s="1">
        <v>3.14</v>
      </c>
      <c r="F123" s="1">
        <v>122</v>
      </c>
      <c r="G123" s="1">
        <f t="shared" si="26"/>
        <v>46735.76</v>
      </c>
      <c r="H123" s="1">
        <f t="shared" si="27"/>
        <v>766.16000000000008</v>
      </c>
      <c r="I123" s="1">
        <f t="shared" si="24"/>
        <v>81.967213114754102</v>
      </c>
      <c r="J123" s="1">
        <f t="shared" si="28"/>
        <v>0.10698445900954644</v>
      </c>
      <c r="K123" s="1">
        <f t="shared" si="25"/>
        <v>5000</v>
      </c>
      <c r="L123" s="1">
        <f t="shared" si="29"/>
        <v>2.5132741228718346E-2</v>
      </c>
      <c r="M123" s="3">
        <f t="shared" si="30"/>
        <v>747.79729274122883</v>
      </c>
      <c r="N123" s="9">
        <f t="shared" si="31"/>
        <v>0.10075827642473344</v>
      </c>
      <c r="O123" s="17">
        <f t="shared" si="32"/>
        <v>4.0000000000000001E-3</v>
      </c>
      <c r="P123" s="17">
        <f t="shared" si="33"/>
        <v>4.0000000000000001E-3</v>
      </c>
      <c r="Q123" s="17">
        <f t="shared" si="34"/>
        <v>8.0000000000000002E-3</v>
      </c>
      <c r="R123" s="10">
        <f t="shared" si="35"/>
        <v>5907.5986126557082</v>
      </c>
      <c r="S123" s="19">
        <f t="shared" si="36"/>
        <v>313102726.47075254</v>
      </c>
    </row>
    <row r="124" spans="5:19" x14ac:dyDescent="0.3">
      <c r="E124" s="1">
        <v>3.14</v>
      </c>
      <c r="F124" s="1">
        <v>123</v>
      </c>
      <c r="G124" s="1">
        <f t="shared" si="26"/>
        <v>47505.060000000005</v>
      </c>
      <c r="H124" s="1">
        <f t="shared" si="27"/>
        <v>772.44</v>
      </c>
      <c r="I124" s="1">
        <f t="shared" si="24"/>
        <v>81.300813008130078</v>
      </c>
      <c r="J124" s="1">
        <f t="shared" si="28"/>
        <v>0.10525194579272186</v>
      </c>
      <c r="K124" s="1">
        <f t="shared" si="25"/>
        <v>5000</v>
      </c>
      <c r="L124" s="1">
        <f t="shared" si="29"/>
        <v>2.5132741228718346E-2</v>
      </c>
      <c r="M124" s="3">
        <f t="shared" si="30"/>
        <v>760.10609274122885</v>
      </c>
      <c r="N124" s="9">
        <f t="shared" si="31"/>
        <v>0.10074599684749372</v>
      </c>
      <c r="O124" s="17">
        <f t="shared" si="32"/>
        <v>4.0000000000000001E-3</v>
      </c>
      <c r="P124" s="17">
        <f t="shared" si="33"/>
        <v>4.0000000000000001E-3</v>
      </c>
      <c r="Q124" s="17">
        <f t="shared" si="34"/>
        <v>8.0000000000000002E-3</v>
      </c>
      <c r="R124" s="10">
        <f t="shared" si="35"/>
        <v>6004.8381326557083</v>
      </c>
      <c r="S124" s="19">
        <f t="shared" si="36"/>
        <v>318256421.03075254</v>
      </c>
    </row>
    <row r="125" spans="5:19" x14ac:dyDescent="0.3">
      <c r="E125" s="1">
        <v>3.14</v>
      </c>
      <c r="F125" s="1">
        <v>124</v>
      </c>
      <c r="G125" s="1">
        <f t="shared" si="26"/>
        <v>48280.639999999999</v>
      </c>
      <c r="H125" s="1">
        <f t="shared" si="27"/>
        <v>778.72</v>
      </c>
      <c r="I125" s="1">
        <f t="shared" si="24"/>
        <v>80.645161290322577</v>
      </c>
      <c r="J125" s="1">
        <f t="shared" si="28"/>
        <v>0.10356117897360101</v>
      </c>
      <c r="K125" s="1">
        <f t="shared" si="25"/>
        <v>5000</v>
      </c>
      <c r="L125" s="1">
        <f t="shared" si="29"/>
        <v>2.5132741228718346E-2</v>
      </c>
      <c r="M125" s="3">
        <f t="shared" si="30"/>
        <v>772.5153727412287</v>
      </c>
      <c r="N125" s="9">
        <f t="shared" si="31"/>
        <v>0.10073401315724068</v>
      </c>
      <c r="O125" s="17">
        <f t="shared" si="32"/>
        <v>4.0000000000000001E-3</v>
      </c>
      <c r="P125" s="17">
        <f t="shared" si="33"/>
        <v>4.0000000000000001E-3</v>
      </c>
      <c r="Q125" s="17">
        <f t="shared" si="34"/>
        <v>8.0000000000000002E-3</v>
      </c>
      <c r="R125" s="10">
        <f t="shared" si="35"/>
        <v>6102.8714446557069</v>
      </c>
      <c r="S125" s="19">
        <f t="shared" si="36"/>
        <v>323452186.56675249</v>
      </c>
    </row>
    <row r="126" spans="5:19" x14ac:dyDescent="0.3">
      <c r="E126" s="1">
        <v>3.14</v>
      </c>
      <c r="F126" s="1">
        <v>125</v>
      </c>
      <c r="G126" s="1">
        <f t="shared" si="26"/>
        <v>49062.5</v>
      </c>
      <c r="H126" s="1">
        <f t="shared" si="27"/>
        <v>785</v>
      </c>
      <c r="I126" s="1">
        <f t="shared" si="24"/>
        <v>80</v>
      </c>
      <c r="J126" s="1">
        <f t="shared" si="28"/>
        <v>0.10191082802547771</v>
      </c>
      <c r="K126" s="1">
        <f t="shared" si="25"/>
        <v>5000</v>
      </c>
      <c r="L126" s="1">
        <f t="shared" si="29"/>
        <v>2.5132741228718346E-2</v>
      </c>
      <c r="M126" s="3">
        <f t="shared" si="30"/>
        <v>785.02513274122873</v>
      </c>
      <c r="N126" s="9">
        <f t="shared" si="31"/>
        <v>0.10072231592356688</v>
      </c>
      <c r="O126" s="17">
        <f t="shared" si="32"/>
        <v>4.0000000000000001E-3</v>
      </c>
      <c r="P126" s="17">
        <f t="shared" si="33"/>
        <v>4.0000000000000001E-3</v>
      </c>
      <c r="Q126" s="17">
        <f t="shared" si="34"/>
        <v>8.0000000000000002E-3</v>
      </c>
      <c r="R126" s="10">
        <f t="shared" si="35"/>
        <v>6201.6985486557078</v>
      </c>
      <c r="S126" s="19">
        <f t="shared" si="36"/>
        <v>328690023.07875252</v>
      </c>
    </row>
    <row r="127" spans="5:19" x14ac:dyDescent="0.3">
      <c r="E127" s="1">
        <v>3.14</v>
      </c>
      <c r="F127" s="1">
        <v>126</v>
      </c>
      <c r="G127" s="1">
        <f t="shared" si="26"/>
        <v>49850.64</v>
      </c>
      <c r="H127" s="1">
        <f t="shared" si="27"/>
        <v>791.28000000000009</v>
      </c>
      <c r="I127" s="1">
        <f t="shared" si="24"/>
        <v>79.365079365079382</v>
      </c>
      <c r="J127" s="1">
        <f t="shared" si="28"/>
        <v>0.10029961500995775</v>
      </c>
      <c r="K127" s="1">
        <f t="shared" si="25"/>
        <v>5000</v>
      </c>
      <c r="L127" s="1">
        <f t="shared" si="29"/>
        <v>2.5132741228718346E-2</v>
      </c>
      <c r="M127" s="3">
        <f t="shared" si="30"/>
        <v>797.63537274122871</v>
      </c>
      <c r="N127" s="9">
        <f t="shared" si="31"/>
        <v>0.10071089608879646</v>
      </c>
      <c r="O127" s="17">
        <f t="shared" si="32"/>
        <v>4.0000000000000001E-3</v>
      </c>
      <c r="P127" s="17">
        <f t="shared" si="33"/>
        <v>4.0000000000000001E-3</v>
      </c>
      <c r="Q127" s="17">
        <f t="shared" si="34"/>
        <v>8.0000000000000002E-3</v>
      </c>
      <c r="R127" s="10">
        <f t="shared" si="35"/>
        <v>6301.3194446557072</v>
      </c>
      <c r="S127" s="19">
        <f t="shared" si="36"/>
        <v>333969930.56675249</v>
      </c>
    </row>
    <row r="128" spans="5:19" x14ac:dyDescent="0.3">
      <c r="E128" s="1">
        <v>3.14</v>
      </c>
      <c r="F128" s="1">
        <v>127</v>
      </c>
      <c r="G128" s="1">
        <f t="shared" si="26"/>
        <v>50645.060000000005</v>
      </c>
      <c r="H128" s="1">
        <f t="shared" si="27"/>
        <v>797.56000000000006</v>
      </c>
      <c r="I128" s="1">
        <f t="shared" si="24"/>
        <v>78.740157480314963</v>
      </c>
      <c r="J128" s="1">
        <f t="shared" si="28"/>
        <v>9.872631210230573E-2</v>
      </c>
      <c r="K128" s="1">
        <f t="shared" si="25"/>
        <v>5000</v>
      </c>
      <c r="L128" s="1">
        <f t="shared" si="29"/>
        <v>2.5132741228718346E-2</v>
      </c>
      <c r="M128" s="3">
        <f t="shared" si="30"/>
        <v>810.34609274122886</v>
      </c>
      <c r="N128" s="9">
        <f t="shared" si="31"/>
        <v>0.10069974495044531</v>
      </c>
      <c r="O128" s="17">
        <f t="shared" si="32"/>
        <v>4.0000000000000001E-3</v>
      </c>
      <c r="P128" s="17">
        <f t="shared" si="33"/>
        <v>4.0000000000000001E-3</v>
      </c>
      <c r="Q128" s="17">
        <f t="shared" si="34"/>
        <v>8.0000000000000002E-3</v>
      </c>
      <c r="R128" s="10">
        <f t="shared" si="35"/>
        <v>6401.734132655708</v>
      </c>
      <c r="S128" s="19">
        <f t="shared" si="36"/>
        <v>339291909.03075254</v>
      </c>
    </row>
    <row r="129" spans="5:19" x14ac:dyDescent="0.3">
      <c r="E129" s="1">
        <v>3.14</v>
      </c>
      <c r="F129" s="1">
        <v>128</v>
      </c>
      <c r="G129" s="1">
        <f t="shared" si="26"/>
        <v>51445.760000000002</v>
      </c>
      <c r="H129" s="1">
        <f t="shared" si="27"/>
        <v>803.84</v>
      </c>
      <c r="I129" s="1">
        <f t="shared" si="24"/>
        <v>78.125</v>
      </c>
      <c r="J129" s="1">
        <f t="shared" si="28"/>
        <v>9.7189739251592355E-2</v>
      </c>
      <c r="K129" s="1">
        <f t="shared" si="25"/>
        <v>5000</v>
      </c>
      <c r="L129" s="1">
        <f t="shared" si="29"/>
        <v>2.5132741228718346E-2</v>
      </c>
      <c r="M129" s="3">
        <f t="shared" si="30"/>
        <v>823.15729274122873</v>
      </c>
      <c r="N129" s="9">
        <f t="shared" si="31"/>
        <v>0.10068885414463699</v>
      </c>
      <c r="O129" s="17">
        <f t="shared" si="32"/>
        <v>4.0000000000000001E-3</v>
      </c>
      <c r="P129" s="17">
        <f t="shared" si="33"/>
        <v>4.0000000000000001E-3</v>
      </c>
      <c r="Q129" s="17">
        <f t="shared" si="34"/>
        <v>8.0000000000000002E-3</v>
      </c>
      <c r="R129" s="10">
        <f t="shared" si="35"/>
        <v>6502.9426126557064</v>
      </c>
      <c r="S129" s="19">
        <f t="shared" si="36"/>
        <v>344655958.47075242</v>
      </c>
    </row>
    <row r="130" spans="5:19" x14ac:dyDescent="0.3">
      <c r="E130" s="1">
        <v>3.14</v>
      </c>
      <c r="F130" s="1">
        <v>129</v>
      </c>
      <c r="G130" s="1">
        <f t="shared" si="26"/>
        <v>52252.740000000005</v>
      </c>
      <c r="H130" s="1">
        <f t="shared" si="27"/>
        <v>810.12</v>
      </c>
      <c r="I130" s="1">
        <f t="shared" si="24"/>
        <v>77.519379844961236</v>
      </c>
      <c r="J130" s="1">
        <f t="shared" si="28"/>
        <v>9.5688761967315003E-2</v>
      </c>
      <c r="K130" s="1">
        <f t="shared" si="25"/>
        <v>5000</v>
      </c>
      <c r="L130" s="1">
        <f t="shared" si="29"/>
        <v>2.5132741228718346E-2</v>
      </c>
      <c r="M130" s="3">
        <f t="shared" si="30"/>
        <v>836.06897274122878</v>
      </c>
      <c r="N130" s="9">
        <f t="shared" si="31"/>
        <v>0.10067821563041479</v>
      </c>
      <c r="O130" s="17">
        <f t="shared" si="32"/>
        <v>4.0000000000000001E-3</v>
      </c>
      <c r="P130" s="17">
        <f t="shared" si="33"/>
        <v>4.0000000000000001E-3</v>
      </c>
      <c r="Q130" s="17">
        <f t="shared" si="34"/>
        <v>8.0000000000000002E-3</v>
      </c>
      <c r="R130" s="10">
        <f t="shared" si="35"/>
        <v>6604.9448846557079</v>
      </c>
      <c r="S130" s="19">
        <f t="shared" si="36"/>
        <v>350062078.88675255</v>
      </c>
    </row>
    <row r="131" spans="5:19" x14ac:dyDescent="0.3">
      <c r="E131" s="1">
        <v>3.14</v>
      </c>
      <c r="F131" s="1">
        <v>130</v>
      </c>
      <c r="G131" s="1">
        <f t="shared" si="26"/>
        <v>53066</v>
      </c>
      <c r="H131" s="1">
        <f t="shared" si="27"/>
        <v>816.4</v>
      </c>
      <c r="I131" s="1">
        <f t="shared" ref="I131:I138" si="37">H131*J131</f>
        <v>76.92307692307692</v>
      </c>
      <c r="J131" s="1">
        <f t="shared" si="28"/>
        <v>9.4222289224739006E-2</v>
      </c>
      <c r="K131" s="1">
        <f t="shared" ref="K131:K138" si="38">$C$18</f>
        <v>5000</v>
      </c>
      <c r="L131" s="1">
        <f t="shared" si="29"/>
        <v>2.5132741228718346E-2</v>
      </c>
      <c r="M131" s="3">
        <f t="shared" si="30"/>
        <v>849.08113274122877</v>
      </c>
      <c r="N131" s="9">
        <f t="shared" si="31"/>
        <v>0.10066782167489542</v>
      </c>
      <c r="O131" s="17">
        <f t="shared" si="32"/>
        <v>4.0000000000000001E-3</v>
      </c>
      <c r="P131" s="17">
        <f t="shared" si="33"/>
        <v>4.0000000000000001E-3</v>
      </c>
      <c r="Q131" s="17">
        <f t="shared" si="34"/>
        <v>8.0000000000000002E-3</v>
      </c>
      <c r="R131" s="10">
        <f t="shared" si="35"/>
        <v>6707.7409486557071</v>
      </c>
      <c r="S131" s="19">
        <f t="shared" si="36"/>
        <v>355510270.27875251</v>
      </c>
    </row>
    <row r="132" spans="5:19" x14ac:dyDescent="0.3">
      <c r="E132" s="1">
        <v>3.14</v>
      </c>
      <c r="F132" s="1">
        <v>131</v>
      </c>
      <c r="G132" s="1">
        <f t="shared" si="26"/>
        <v>53885.54</v>
      </c>
      <c r="H132" s="1">
        <f t="shared" si="27"/>
        <v>822.68000000000006</v>
      </c>
      <c r="I132" s="1">
        <f t="shared" si="37"/>
        <v>76.335877862595424</v>
      </c>
      <c r="J132" s="1">
        <f t="shared" si="28"/>
        <v>9.2789271481737032E-2</v>
      </c>
      <c r="K132" s="1">
        <f t="shared" si="38"/>
        <v>5000</v>
      </c>
      <c r="L132" s="1">
        <f t="shared" si="29"/>
        <v>2.5132741228718346E-2</v>
      </c>
      <c r="M132" s="3">
        <f t="shared" si="30"/>
        <v>862.19377274122871</v>
      </c>
      <c r="N132" s="9">
        <f t="shared" si="31"/>
        <v>0.1006576648392129</v>
      </c>
      <c r="O132" s="17">
        <f t="shared" si="32"/>
        <v>4.0000000000000001E-3</v>
      </c>
      <c r="P132" s="17">
        <f t="shared" si="33"/>
        <v>4.0000000000000001E-3</v>
      </c>
      <c r="Q132" s="17">
        <f t="shared" si="34"/>
        <v>8.0000000000000002E-3</v>
      </c>
      <c r="R132" s="10">
        <f t="shared" si="35"/>
        <v>6811.3308046557067</v>
      </c>
      <c r="S132" s="19">
        <f t="shared" si="36"/>
        <v>361000532.64675248</v>
      </c>
    </row>
    <row r="133" spans="5:19" x14ac:dyDescent="0.3">
      <c r="E133" s="1">
        <v>3.14</v>
      </c>
      <c r="F133" s="1">
        <v>132</v>
      </c>
      <c r="G133" s="1">
        <f t="shared" si="26"/>
        <v>54711.360000000001</v>
      </c>
      <c r="H133" s="1">
        <f t="shared" si="27"/>
        <v>828.96</v>
      </c>
      <c r="I133" s="1">
        <f t="shared" si="37"/>
        <v>75.757575757575751</v>
      </c>
      <c r="J133" s="1">
        <f t="shared" si="28"/>
        <v>9.1388698800395379E-2</v>
      </c>
      <c r="K133" s="1">
        <f t="shared" si="38"/>
        <v>5000</v>
      </c>
      <c r="L133" s="1">
        <f t="shared" si="29"/>
        <v>2.5132741228718346E-2</v>
      </c>
      <c r="M133" s="3">
        <f t="shared" si="30"/>
        <v>875.40689274122872</v>
      </c>
      <c r="N133" s="9">
        <f t="shared" si="31"/>
        <v>0.10064773796520504</v>
      </c>
      <c r="O133" s="17">
        <f t="shared" si="32"/>
        <v>4.0000000000000001E-3</v>
      </c>
      <c r="P133" s="17">
        <f t="shared" si="33"/>
        <v>4.0000000000000001E-3</v>
      </c>
      <c r="Q133" s="17">
        <f t="shared" si="34"/>
        <v>8.0000000000000002E-3</v>
      </c>
      <c r="R133" s="10">
        <f t="shared" si="35"/>
        <v>6915.7144526557067</v>
      </c>
      <c r="S133" s="19">
        <f t="shared" si="36"/>
        <v>366532865.99075246</v>
      </c>
    </row>
    <row r="134" spans="5:19" x14ac:dyDescent="0.3">
      <c r="E134" s="1">
        <v>3.14</v>
      </c>
      <c r="F134" s="1">
        <v>133</v>
      </c>
      <c r="G134" s="1">
        <f t="shared" si="26"/>
        <v>55543.46</v>
      </c>
      <c r="H134" s="1">
        <f t="shared" si="27"/>
        <v>835.24</v>
      </c>
      <c r="I134" s="1">
        <f t="shared" si="37"/>
        <v>75.187969924812037</v>
      </c>
      <c r="J134" s="1">
        <f t="shared" si="28"/>
        <v>9.0019599067108894E-2</v>
      </c>
      <c r="K134" s="1">
        <f t="shared" si="38"/>
        <v>5000</v>
      </c>
      <c r="L134" s="1">
        <f t="shared" si="29"/>
        <v>2.5132741228718346E-2</v>
      </c>
      <c r="M134" s="3">
        <f t="shared" si="30"/>
        <v>888.72049274122878</v>
      </c>
      <c r="N134" s="9">
        <f t="shared" si="31"/>
        <v>0.10063803416279793</v>
      </c>
      <c r="O134" s="17">
        <f t="shared" si="32"/>
        <v>4.0000000000000001E-3</v>
      </c>
      <c r="P134" s="17">
        <f t="shared" si="33"/>
        <v>4.0000000000000001E-3</v>
      </c>
      <c r="Q134" s="17">
        <f t="shared" si="34"/>
        <v>8.0000000000000002E-3</v>
      </c>
      <c r="R134" s="10">
        <f t="shared" si="35"/>
        <v>7020.8918926557071</v>
      </c>
      <c r="S134" s="19">
        <f t="shared" si="36"/>
        <v>372107270.31075245</v>
      </c>
    </row>
    <row r="135" spans="5:19" x14ac:dyDescent="0.3">
      <c r="E135" s="1">
        <v>3.14</v>
      </c>
      <c r="F135" s="1">
        <v>134</v>
      </c>
      <c r="G135" s="1">
        <f t="shared" si="26"/>
        <v>56381.840000000004</v>
      </c>
      <c r="H135" s="1">
        <f t="shared" si="27"/>
        <v>841.52</v>
      </c>
      <c r="I135" s="1">
        <f t="shared" si="37"/>
        <v>74.626865671641781</v>
      </c>
      <c r="J135" s="1">
        <f t="shared" si="28"/>
        <v>8.8681036305306812E-2</v>
      </c>
      <c r="K135" s="1">
        <f t="shared" si="38"/>
        <v>5000</v>
      </c>
      <c r="L135" s="1">
        <f t="shared" si="29"/>
        <v>2.5132741228718346E-2</v>
      </c>
      <c r="M135" s="3">
        <f t="shared" si="30"/>
        <v>902.13457274122879</v>
      </c>
      <c r="N135" s="9">
        <f t="shared" si="31"/>
        <v>0.10062854679804703</v>
      </c>
      <c r="O135" s="17">
        <f t="shared" si="32"/>
        <v>4.0000000000000001E-3</v>
      </c>
      <c r="P135" s="17">
        <f t="shared" si="33"/>
        <v>4.0000000000000001E-3</v>
      </c>
      <c r="Q135" s="17">
        <f t="shared" si="34"/>
        <v>8.0000000000000002E-3</v>
      </c>
      <c r="R135" s="10">
        <f t="shared" si="35"/>
        <v>7126.8631246557079</v>
      </c>
      <c r="S135" s="19">
        <f t="shared" si="36"/>
        <v>377723745.60675251</v>
      </c>
    </row>
    <row r="136" spans="5:19" x14ac:dyDescent="0.3">
      <c r="E136" s="1">
        <v>3.14</v>
      </c>
      <c r="F136" s="1">
        <v>135</v>
      </c>
      <c r="G136" s="1">
        <f t="shared" ref="G136:G138" si="39">E136*F136^2</f>
        <v>57226.5</v>
      </c>
      <c r="H136" s="1">
        <f t="shared" ref="H136:H138" si="40">2*E136*F136</f>
        <v>847.80000000000007</v>
      </c>
      <c r="I136" s="1">
        <f t="shared" si="37"/>
        <v>74.074074074074076</v>
      </c>
      <c r="J136" s="1">
        <f t="shared" ref="J136:J138" si="41">K136/G136</f>
        <v>8.7372109075340973E-2</v>
      </c>
      <c r="K136" s="1">
        <f t="shared" si="38"/>
        <v>5000</v>
      </c>
      <c r="L136" s="1">
        <f t="shared" ref="L136:L138" si="42">2*PI()*P136</f>
        <v>2.5132741228718346E-2</v>
      </c>
      <c r="M136" s="3">
        <f t="shared" ref="M136:M138" si="43">(G136*2*Q136)+L136</f>
        <v>915.64913274122875</v>
      </c>
      <c r="N136" s="9">
        <f t="shared" ref="N136:N138" si="44">0.1+$C$8*J136*0.85*9.81/(10^6)</f>
        <v>0.10061926948179603</v>
      </c>
      <c r="O136" s="17">
        <f t="shared" ref="O136:O138" si="45">IF((1.05*$C$8*9.81*J136)*F136/(0.7*((10^6)/(1.025*1.15)))/(10^3)&gt;=0.004, (1.05*$C$8*9.81*J136)*F136/(0.7*((10^6)/(1.025*1.15)))/(10^3), 0.004)</f>
        <v>4.0000000000000001E-3</v>
      </c>
      <c r="P136" s="17">
        <f t="shared" ref="P136:P138" si="46">IF((1.05*$C$8*9.81*J136)*F136/(0.7*((10^6)/(1.025*1.15))*10^3)&gt;=0.004, (1.05*$C$8*9.81*J136^2)*F136/(0.7*((10^6)/(1.025*1.15))*2*10^3), 0.004)</f>
        <v>4.0000000000000001E-3</v>
      </c>
      <c r="Q136" s="17">
        <f t="shared" ref="Q136:Q138" si="47">2*O136</f>
        <v>8.0000000000000002E-3</v>
      </c>
      <c r="R136" s="10">
        <f t="shared" ref="R136:R138" si="48">M136*$C$17*10^(-3)</f>
        <v>7233.6281486557073</v>
      </c>
      <c r="S136" s="19">
        <f t="shared" ref="S136:S138" si="49">R136*53000</f>
        <v>383382291.87875247</v>
      </c>
    </row>
    <row r="137" spans="5:19" x14ac:dyDescent="0.3">
      <c r="E137" s="1">
        <v>3.14</v>
      </c>
      <c r="F137" s="1">
        <v>136</v>
      </c>
      <c r="G137" s="1">
        <f t="shared" si="39"/>
        <v>58077.440000000002</v>
      </c>
      <c r="H137" s="1">
        <f t="shared" si="40"/>
        <v>854.08</v>
      </c>
      <c r="I137" s="1">
        <f t="shared" si="37"/>
        <v>73.529411764705884</v>
      </c>
      <c r="J137" s="1">
        <f t="shared" si="41"/>
        <v>8.6091948956427827E-2</v>
      </c>
      <c r="K137" s="1">
        <f t="shared" si="38"/>
        <v>5000</v>
      </c>
      <c r="L137" s="1">
        <f t="shared" si="42"/>
        <v>2.5132741228718346E-2</v>
      </c>
      <c r="M137" s="3">
        <f t="shared" si="43"/>
        <v>929.26417274122878</v>
      </c>
      <c r="N137" s="9">
        <f t="shared" si="44"/>
        <v>0.1006101960589172</v>
      </c>
      <c r="O137" s="17">
        <f t="shared" si="45"/>
        <v>4.0000000000000001E-3</v>
      </c>
      <c r="P137" s="17">
        <f t="shared" si="46"/>
        <v>4.0000000000000001E-3</v>
      </c>
      <c r="Q137" s="17">
        <f t="shared" si="47"/>
        <v>8.0000000000000002E-3</v>
      </c>
      <c r="R137" s="10">
        <f t="shared" si="48"/>
        <v>7341.1869646557079</v>
      </c>
      <c r="S137" s="19">
        <f t="shared" si="49"/>
        <v>389082909.1267525</v>
      </c>
    </row>
    <row r="138" spans="5:19" x14ac:dyDescent="0.3">
      <c r="E138" s="1">
        <v>3.14</v>
      </c>
      <c r="F138" s="1">
        <v>137</v>
      </c>
      <c r="G138" s="1">
        <f t="shared" si="39"/>
        <v>58934.66</v>
      </c>
      <c r="H138" s="1">
        <f t="shared" si="40"/>
        <v>860.36</v>
      </c>
      <c r="I138" s="1">
        <f t="shared" si="37"/>
        <v>72.992700729927009</v>
      </c>
      <c r="J138" s="1">
        <f t="shared" si="41"/>
        <v>8.4839719105870806E-2</v>
      </c>
      <c r="K138" s="1">
        <f t="shared" si="38"/>
        <v>5000</v>
      </c>
      <c r="L138" s="1">
        <f t="shared" si="42"/>
        <v>2.5132741228718346E-2</v>
      </c>
      <c r="M138" s="3">
        <f t="shared" si="43"/>
        <v>942.97969274122886</v>
      </c>
      <c r="N138" s="9">
        <f t="shared" si="44"/>
        <v>0.10060132059809966</v>
      </c>
      <c r="O138" s="17">
        <f t="shared" si="45"/>
        <v>4.0000000000000001E-3</v>
      </c>
      <c r="P138" s="17">
        <f t="shared" si="46"/>
        <v>4.0000000000000001E-3</v>
      </c>
      <c r="Q138" s="17">
        <f t="shared" si="47"/>
        <v>8.0000000000000002E-3</v>
      </c>
      <c r="R138" s="10">
        <f t="shared" si="48"/>
        <v>7449.5395726557081</v>
      </c>
      <c r="S138" s="19">
        <f t="shared" si="49"/>
        <v>394825597.35075253</v>
      </c>
    </row>
  </sheetData>
  <conditionalFormatting sqref="N1:O1 Q1:S1 M1:M138">
    <cfRule type="expression" priority="1">
      <formula>MIN(M:M)</formula>
    </cfRule>
  </conditionalFormatting>
  <conditionalFormatting sqref="N1:S1 M1:M138">
    <cfRule type="expression" priority="2">
      <formula>"min"</formula>
    </cfRule>
  </conditionalFormatting>
  <conditionalFormatting sqref="P1">
    <cfRule type="expression" priority="7">
      <formula>MIN(#REF!)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B1:M140"/>
  <sheetViews>
    <sheetView topLeftCell="C1" workbookViewId="0">
      <selection activeCell="L8" sqref="L8"/>
    </sheetView>
  </sheetViews>
  <sheetFormatPr defaultRowHeight="14.4" x14ac:dyDescent="0.3"/>
  <cols>
    <col min="2" max="2" width="40.5546875" bestFit="1" customWidth="1"/>
    <col min="3" max="3" width="40.44140625" bestFit="1" customWidth="1"/>
    <col min="9" max="9" width="15.5546875" bestFit="1" customWidth="1"/>
    <col min="10" max="10" width="18" customWidth="1"/>
    <col min="11" max="13" width="24.44140625" customWidth="1"/>
  </cols>
  <sheetData>
    <row r="1" spans="2:13" ht="30.6" customHeight="1" x14ac:dyDescent="0.3">
      <c r="E1" s="5" t="s">
        <v>8</v>
      </c>
      <c r="F1" s="5" t="s">
        <v>9</v>
      </c>
      <c r="G1" s="5" t="s">
        <v>12</v>
      </c>
      <c r="H1" s="5" t="s">
        <v>13</v>
      </c>
      <c r="I1" s="5" t="s">
        <v>30</v>
      </c>
      <c r="J1" s="6" t="s">
        <v>23</v>
      </c>
      <c r="K1" s="11" t="s">
        <v>29</v>
      </c>
      <c r="L1" s="12" t="s">
        <v>27</v>
      </c>
      <c r="M1" s="12" t="s">
        <v>25</v>
      </c>
    </row>
    <row r="2" spans="2:13" x14ac:dyDescent="0.3">
      <c r="B2" s="1" t="s">
        <v>0</v>
      </c>
      <c r="C2" s="1" t="s">
        <v>1</v>
      </c>
      <c r="D2" s="1"/>
      <c r="E2" s="1">
        <f>PI()</f>
        <v>3.1415926535897931</v>
      </c>
      <c r="F2" s="1">
        <f>POWER(3*H2/(4*E2),1/3)</f>
        <v>10.60784417947055</v>
      </c>
      <c r="G2" s="1">
        <f>2*F2</f>
        <v>21.215688358941101</v>
      </c>
      <c r="H2" s="1">
        <v>5000</v>
      </c>
      <c r="I2" s="3">
        <f>4/3*E2*((F2+K2)^3-(F2)^3)</f>
        <v>5.6583247825839385</v>
      </c>
      <c r="J2" s="9">
        <f>0.1+$C$10*G2*0.85*9.81/(10^6)</f>
        <v>0.25037096477387588</v>
      </c>
      <c r="K2" s="17">
        <f>IF((1.05*$C$10*9.81*G2)*F2/(0.7*((10^6)/(1.025*1.15)))/(10^3)&gt;=0.004, (1.05*$C$10*9.81*G2)*F2/(0.7*((10^6)/(1.025*1.15)))/(10^3), 0.004)</f>
        <v>4.0000000000000001E-3</v>
      </c>
      <c r="L2" s="10">
        <f>I2*$C$19*10^(-3)</f>
        <v>44.700765782413114</v>
      </c>
      <c r="M2" s="18">
        <f>L2*53000</f>
        <v>2369140.5864678952</v>
      </c>
    </row>
    <row r="3" spans="2:13" x14ac:dyDescent="0.3">
      <c r="B3" s="1" t="s">
        <v>2</v>
      </c>
      <c r="C3" s="1" t="s">
        <v>3</v>
      </c>
      <c r="D3" s="1"/>
      <c r="E3" s="1"/>
      <c r="F3" s="1"/>
      <c r="G3" s="1"/>
      <c r="H3" s="1"/>
      <c r="I3" s="3"/>
      <c r="J3" s="9"/>
      <c r="K3" s="17"/>
      <c r="L3" s="10"/>
      <c r="M3" s="10"/>
    </row>
    <row r="4" spans="2:13" x14ac:dyDescent="0.3">
      <c r="B4" s="1" t="s">
        <v>4</v>
      </c>
      <c r="C4" s="1" t="s">
        <v>5</v>
      </c>
      <c r="D4" s="1"/>
      <c r="E4" s="1"/>
      <c r="F4" s="1"/>
      <c r="G4" s="1"/>
      <c r="H4" s="1"/>
      <c r="I4" s="3"/>
      <c r="J4" s="9"/>
      <c r="K4" s="17"/>
      <c r="L4" s="10"/>
      <c r="M4" s="10"/>
    </row>
    <row r="5" spans="2:13" x14ac:dyDescent="0.3">
      <c r="B5" s="1" t="s">
        <v>6</v>
      </c>
      <c r="C5" s="2" t="s">
        <v>7</v>
      </c>
      <c r="D5" s="1"/>
      <c r="E5" s="1"/>
      <c r="F5" s="1"/>
      <c r="G5" s="1"/>
      <c r="H5" s="1"/>
      <c r="I5" s="3"/>
      <c r="J5" s="9"/>
      <c r="K5" s="17"/>
      <c r="L5" s="10"/>
      <c r="M5" s="10"/>
    </row>
    <row r="6" spans="2:13" x14ac:dyDescent="0.3">
      <c r="B6" s="1" t="s">
        <v>33</v>
      </c>
      <c r="C6" s="1" t="s">
        <v>34</v>
      </c>
      <c r="D6" s="1"/>
      <c r="E6" s="1"/>
      <c r="F6" s="1"/>
      <c r="G6" s="1"/>
      <c r="H6" s="1"/>
      <c r="I6" s="3"/>
      <c r="J6" s="9"/>
      <c r="K6" s="17"/>
      <c r="L6" s="10"/>
      <c r="M6" s="10"/>
    </row>
    <row r="7" spans="2:13" x14ac:dyDescent="0.3">
      <c r="B7" s="1" t="s">
        <v>35</v>
      </c>
      <c r="C7" s="1" t="s">
        <v>36</v>
      </c>
      <c r="D7" s="1"/>
      <c r="E7" s="1"/>
      <c r="F7" s="1"/>
      <c r="G7" s="1"/>
      <c r="H7" s="1"/>
      <c r="I7" s="3"/>
      <c r="J7" s="9"/>
      <c r="K7" s="17"/>
      <c r="L7" s="10"/>
      <c r="M7" s="10"/>
    </row>
    <row r="8" spans="2:13" x14ac:dyDescent="0.3">
      <c r="E8" s="1"/>
      <c r="F8" s="1"/>
      <c r="G8" s="1"/>
      <c r="H8" s="1"/>
      <c r="I8" s="3"/>
      <c r="J8" s="9"/>
      <c r="K8" s="17"/>
      <c r="L8" s="10"/>
      <c r="M8" s="10"/>
    </row>
    <row r="9" spans="2:13" x14ac:dyDescent="0.3">
      <c r="B9" s="1" t="s">
        <v>17</v>
      </c>
      <c r="C9" s="1" t="s">
        <v>15</v>
      </c>
      <c r="E9" s="1"/>
      <c r="F9" s="1"/>
      <c r="G9" s="1"/>
      <c r="H9" s="1"/>
      <c r="I9" s="3"/>
      <c r="J9" s="9"/>
      <c r="K9" s="17"/>
      <c r="L9" s="10"/>
      <c r="M9" s="10"/>
    </row>
    <row r="10" spans="2:13" x14ac:dyDescent="0.3">
      <c r="B10" s="1" t="s">
        <v>16</v>
      </c>
      <c r="C10">
        <v>850</v>
      </c>
      <c r="E10" s="1"/>
      <c r="F10" s="1"/>
      <c r="G10" s="1"/>
      <c r="H10" s="1"/>
      <c r="I10" s="3"/>
      <c r="J10" s="9"/>
      <c r="K10" s="17"/>
      <c r="L10" s="10"/>
      <c r="M10" s="10"/>
    </row>
    <row r="11" spans="2:13" x14ac:dyDescent="0.3">
      <c r="B11" s="1" t="s">
        <v>18</v>
      </c>
      <c r="C11">
        <v>100</v>
      </c>
      <c r="E11" s="1"/>
      <c r="F11" s="1"/>
      <c r="G11" s="1"/>
      <c r="H11" s="1"/>
      <c r="I11" s="3"/>
      <c r="J11" s="9"/>
      <c r="K11" s="17"/>
      <c r="L11" s="10"/>
      <c r="M11" s="10"/>
    </row>
    <row r="12" spans="2:13" s="14" customFormat="1" x14ac:dyDescent="0.3">
      <c r="B12" s="13" t="s">
        <v>19</v>
      </c>
      <c r="C12" s="14">
        <v>2</v>
      </c>
      <c r="E12" s="13"/>
      <c r="F12" s="13"/>
      <c r="G12" s="1"/>
      <c r="H12" s="13"/>
      <c r="I12" s="3"/>
      <c r="J12" s="9"/>
      <c r="K12" s="17"/>
      <c r="L12" s="10"/>
      <c r="M12" s="10"/>
    </row>
    <row r="13" spans="2:13" x14ac:dyDescent="0.3">
      <c r="C13" s="7">
        <f>402.1</f>
        <v>402.1</v>
      </c>
      <c r="E13" s="1"/>
      <c r="F13" s="1"/>
      <c r="G13" s="1"/>
      <c r="H13" s="1"/>
      <c r="I13" s="3"/>
      <c r="J13" s="9"/>
      <c r="K13" s="17"/>
      <c r="L13" s="10"/>
      <c r="M13" s="10"/>
    </row>
    <row r="14" spans="2:13" ht="15.6" x14ac:dyDescent="0.3">
      <c r="C14" s="8">
        <f>143*10^6</f>
        <v>143000000</v>
      </c>
      <c r="E14" s="1"/>
      <c r="F14" s="1"/>
      <c r="G14" s="1"/>
      <c r="H14" s="1"/>
      <c r="I14" s="3"/>
      <c r="J14" s="9"/>
      <c r="K14" s="17"/>
      <c r="L14" s="10"/>
      <c r="M14" s="10"/>
    </row>
    <row r="15" spans="2:13" x14ac:dyDescent="0.3">
      <c r="E15" s="1"/>
      <c r="F15" s="1"/>
      <c r="G15" s="1"/>
      <c r="H15" s="1"/>
      <c r="I15" s="3"/>
      <c r="J15" s="9"/>
      <c r="K15" s="17"/>
      <c r="L15" s="10"/>
      <c r="M15" s="10"/>
    </row>
    <row r="16" spans="2:13" x14ac:dyDescent="0.3">
      <c r="B16" t="s">
        <v>20</v>
      </c>
      <c r="C16">
        <v>350</v>
      </c>
      <c r="E16" s="1"/>
      <c r="F16" s="1"/>
      <c r="G16" s="1"/>
      <c r="H16" s="1"/>
      <c r="I16" s="3"/>
      <c r="J16" s="9"/>
      <c r="K16" s="17"/>
      <c r="L16" s="10"/>
      <c r="M16" s="10"/>
    </row>
    <row r="17" spans="2:13" x14ac:dyDescent="0.3">
      <c r="B17" t="s">
        <v>21</v>
      </c>
      <c r="C17">
        <v>1.5</v>
      </c>
      <c r="E17" s="1"/>
      <c r="F17" s="1"/>
      <c r="G17" s="1"/>
      <c r="H17" s="1"/>
      <c r="I17" s="3"/>
      <c r="J17" s="9"/>
      <c r="K17" s="17"/>
      <c r="L17" s="10"/>
      <c r="M17" s="10"/>
    </row>
    <row r="18" spans="2:13" x14ac:dyDescent="0.3">
      <c r="B18" t="s">
        <v>24</v>
      </c>
      <c r="C18" s="10">
        <f>C16/C17</f>
        <v>233.33333333333334</v>
      </c>
      <c r="E18" s="1"/>
      <c r="F18" s="1"/>
      <c r="G18" s="1"/>
      <c r="H18" s="1"/>
      <c r="I18" s="3"/>
      <c r="J18" s="9"/>
      <c r="K18" s="17"/>
      <c r="L18" s="10"/>
      <c r="M18" s="10"/>
    </row>
    <row r="19" spans="2:13" x14ac:dyDescent="0.3">
      <c r="B19" t="s">
        <v>28</v>
      </c>
      <c r="C19">
        <v>7900</v>
      </c>
      <c r="E19" s="1"/>
      <c r="F19" s="1"/>
      <c r="G19" s="1"/>
      <c r="H19" s="1"/>
      <c r="I19" s="3"/>
      <c r="J19" s="9"/>
      <c r="K19" s="17"/>
      <c r="L19" s="10"/>
      <c r="M19" s="10"/>
    </row>
    <row r="20" spans="2:13" x14ac:dyDescent="0.3">
      <c r="E20" s="1"/>
      <c r="F20" s="1"/>
      <c r="G20" s="1"/>
      <c r="H20" s="1"/>
      <c r="I20" s="3"/>
      <c r="J20" s="9"/>
      <c r="K20" s="17"/>
      <c r="L20" s="10"/>
      <c r="M20" s="10"/>
    </row>
    <row r="21" spans="2:13" x14ac:dyDescent="0.3">
      <c r="E21" s="1"/>
      <c r="F21" s="1"/>
      <c r="G21" s="1"/>
      <c r="H21" s="1"/>
      <c r="I21" s="3"/>
      <c r="J21" s="9"/>
      <c r="K21" s="17"/>
      <c r="L21" s="10"/>
      <c r="M21" s="10"/>
    </row>
    <row r="22" spans="2:13" x14ac:dyDescent="0.3">
      <c r="E22" s="1"/>
      <c r="F22" s="1"/>
      <c r="G22" s="1"/>
      <c r="H22" s="1"/>
      <c r="I22" s="3"/>
      <c r="J22" s="9"/>
      <c r="K22" s="17"/>
      <c r="L22" s="10"/>
      <c r="M22" s="10"/>
    </row>
    <row r="23" spans="2:13" x14ac:dyDescent="0.3">
      <c r="E23" s="1"/>
      <c r="F23" s="1"/>
      <c r="G23" s="1"/>
      <c r="H23" s="1"/>
      <c r="I23" s="3"/>
      <c r="J23" s="9"/>
      <c r="K23" s="17"/>
      <c r="L23" s="10"/>
      <c r="M23" s="10"/>
    </row>
    <row r="24" spans="2:13" x14ac:dyDescent="0.3">
      <c r="E24" s="1"/>
      <c r="F24" s="1"/>
      <c r="G24" s="1"/>
      <c r="H24" s="1"/>
      <c r="I24" s="3"/>
      <c r="J24" s="9"/>
      <c r="K24" s="17"/>
      <c r="L24" s="10"/>
      <c r="M24" s="10"/>
    </row>
    <row r="25" spans="2:13" x14ac:dyDescent="0.3">
      <c r="E25" s="1"/>
      <c r="F25" s="1"/>
      <c r="G25" s="1"/>
      <c r="H25" s="1"/>
      <c r="I25" s="3"/>
      <c r="J25" s="9"/>
      <c r="K25" s="17"/>
      <c r="L25" s="10"/>
      <c r="M25" s="10"/>
    </row>
    <row r="26" spans="2:13" x14ac:dyDescent="0.3">
      <c r="E26" s="1"/>
      <c r="F26" s="1"/>
      <c r="G26" s="1"/>
      <c r="H26" s="1"/>
      <c r="I26" s="3"/>
      <c r="J26" s="9"/>
      <c r="K26" s="17"/>
      <c r="L26" s="10"/>
      <c r="M26" s="10"/>
    </row>
    <row r="27" spans="2:13" x14ac:dyDescent="0.3">
      <c r="E27" s="1"/>
      <c r="F27" s="1"/>
      <c r="G27" s="1"/>
      <c r="H27" s="1"/>
      <c r="I27" s="3"/>
      <c r="J27" s="9"/>
      <c r="K27" s="17"/>
      <c r="L27" s="10"/>
      <c r="M27" s="10"/>
    </row>
    <row r="28" spans="2:13" x14ac:dyDescent="0.3">
      <c r="E28" s="1"/>
      <c r="F28" s="1"/>
      <c r="G28" s="1"/>
      <c r="H28" s="1"/>
      <c r="I28" s="3"/>
      <c r="J28" s="9"/>
      <c r="K28" s="17"/>
      <c r="L28" s="10"/>
      <c r="M28" s="10"/>
    </row>
    <row r="29" spans="2:13" x14ac:dyDescent="0.3">
      <c r="E29" s="1"/>
      <c r="F29" s="1"/>
      <c r="G29" s="1"/>
      <c r="H29" s="1"/>
      <c r="I29" s="3"/>
      <c r="J29" s="9"/>
      <c r="K29" s="17"/>
      <c r="L29" s="10"/>
      <c r="M29" s="10"/>
    </row>
    <row r="30" spans="2:13" x14ac:dyDescent="0.3">
      <c r="E30" s="1"/>
      <c r="F30" s="1"/>
      <c r="G30" s="1"/>
      <c r="H30" s="1"/>
      <c r="I30" s="3"/>
      <c r="J30" s="9"/>
      <c r="K30" s="17"/>
      <c r="L30" s="10"/>
      <c r="M30" s="10"/>
    </row>
    <row r="31" spans="2:13" x14ac:dyDescent="0.3">
      <c r="E31" s="1"/>
      <c r="F31" s="1"/>
      <c r="G31" s="1"/>
      <c r="H31" s="1"/>
      <c r="I31" s="3"/>
      <c r="J31" s="9"/>
      <c r="K31" s="17"/>
      <c r="L31" s="10"/>
      <c r="M31" s="10"/>
    </row>
    <row r="32" spans="2:13" x14ac:dyDescent="0.3">
      <c r="E32" s="1"/>
      <c r="F32" s="1"/>
      <c r="G32" s="1"/>
      <c r="H32" s="1"/>
      <c r="I32" s="3"/>
      <c r="J32" s="9"/>
      <c r="K32" s="17"/>
      <c r="L32" s="10"/>
      <c r="M32" s="10"/>
    </row>
    <row r="33" spans="5:13" x14ac:dyDescent="0.3">
      <c r="E33" s="1"/>
      <c r="F33" s="1"/>
      <c r="G33" s="1"/>
      <c r="H33" s="1"/>
      <c r="I33" s="3"/>
      <c r="J33" s="9"/>
      <c r="K33" s="17"/>
      <c r="L33" s="10"/>
      <c r="M33" s="10"/>
    </row>
    <row r="34" spans="5:13" x14ac:dyDescent="0.3">
      <c r="E34" s="1"/>
      <c r="F34" s="1"/>
      <c r="G34" s="1"/>
      <c r="H34" s="1"/>
      <c r="I34" s="3"/>
      <c r="J34" s="9"/>
      <c r="K34" s="17"/>
      <c r="L34" s="10"/>
      <c r="M34" s="10"/>
    </row>
    <row r="35" spans="5:13" x14ac:dyDescent="0.3">
      <c r="E35" s="1"/>
      <c r="F35" s="1"/>
      <c r="G35" s="1"/>
      <c r="H35" s="1"/>
      <c r="I35" s="3"/>
      <c r="J35" s="9"/>
      <c r="K35" s="17"/>
      <c r="L35" s="10"/>
      <c r="M35" s="10"/>
    </row>
    <row r="36" spans="5:13" x14ac:dyDescent="0.3">
      <c r="E36" s="1"/>
      <c r="F36" s="1"/>
      <c r="G36" s="1"/>
      <c r="H36" s="1"/>
      <c r="I36" s="3"/>
      <c r="J36" s="9"/>
      <c r="K36" s="17"/>
      <c r="L36" s="10"/>
      <c r="M36" s="10"/>
    </row>
    <row r="37" spans="5:13" x14ac:dyDescent="0.3">
      <c r="E37" s="1"/>
      <c r="F37" s="1"/>
      <c r="G37" s="1"/>
      <c r="H37" s="1"/>
      <c r="I37" s="3"/>
      <c r="J37" s="9"/>
      <c r="K37" s="17"/>
      <c r="L37" s="10"/>
      <c r="M37" s="10"/>
    </row>
    <row r="38" spans="5:13" x14ac:dyDescent="0.3">
      <c r="E38" s="1"/>
      <c r="F38" s="1"/>
      <c r="G38" s="1"/>
      <c r="H38" s="1"/>
      <c r="I38" s="3"/>
      <c r="J38" s="9"/>
      <c r="K38" s="17"/>
      <c r="L38" s="10"/>
      <c r="M38" s="10"/>
    </row>
    <row r="39" spans="5:13" x14ac:dyDescent="0.3">
      <c r="E39" s="1"/>
      <c r="F39" s="1"/>
      <c r="G39" s="1"/>
      <c r="H39" s="1"/>
      <c r="I39" s="3"/>
      <c r="J39" s="9"/>
      <c r="K39" s="17"/>
      <c r="L39" s="10"/>
      <c r="M39" s="10"/>
    </row>
    <row r="40" spans="5:13" x14ac:dyDescent="0.3">
      <c r="E40" s="1"/>
      <c r="F40" s="1"/>
      <c r="G40" s="1"/>
      <c r="H40" s="1"/>
      <c r="I40" s="3"/>
      <c r="J40" s="9"/>
      <c r="K40" s="17"/>
      <c r="L40" s="10"/>
      <c r="M40" s="10"/>
    </row>
    <row r="41" spans="5:13" x14ac:dyDescent="0.3">
      <c r="E41" s="1"/>
      <c r="F41" s="1"/>
      <c r="G41" s="1"/>
      <c r="H41" s="1"/>
      <c r="I41" s="3"/>
      <c r="J41" s="9"/>
      <c r="K41" s="17"/>
      <c r="L41" s="10"/>
      <c r="M41" s="10"/>
    </row>
    <row r="42" spans="5:13" x14ac:dyDescent="0.3">
      <c r="E42" s="1"/>
      <c r="F42" s="1"/>
      <c r="G42" s="1"/>
      <c r="H42" s="1"/>
      <c r="I42" s="3"/>
      <c r="J42" s="9"/>
      <c r="K42" s="17"/>
      <c r="L42" s="10"/>
      <c r="M42" s="10"/>
    </row>
    <row r="43" spans="5:13" x14ac:dyDescent="0.3">
      <c r="E43" s="1"/>
      <c r="F43" s="1"/>
      <c r="G43" s="1"/>
      <c r="H43" s="1"/>
      <c r="I43" s="3"/>
      <c r="J43" s="9"/>
      <c r="K43" s="17"/>
      <c r="L43" s="10"/>
      <c r="M43" s="10"/>
    </row>
    <row r="44" spans="5:13" x14ac:dyDescent="0.3">
      <c r="E44" s="1"/>
      <c r="F44" s="1"/>
      <c r="G44" s="1"/>
      <c r="H44" s="1"/>
      <c r="I44" s="3"/>
      <c r="J44" s="9"/>
      <c r="K44" s="17"/>
      <c r="L44" s="10"/>
      <c r="M44" s="10"/>
    </row>
    <row r="45" spans="5:13" x14ac:dyDescent="0.3">
      <c r="E45" s="1"/>
      <c r="F45" s="1"/>
      <c r="G45" s="1"/>
      <c r="H45" s="1"/>
      <c r="I45" s="3"/>
      <c r="J45" s="9"/>
      <c r="K45" s="17"/>
      <c r="L45" s="10"/>
      <c r="M45" s="10"/>
    </row>
    <row r="46" spans="5:13" x14ac:dyDescent="0.3">
      <c r="E46" s="1"/>
      <c r="F46" s="1"/>
      <c r="G46" s="1"/>
      <c r="H46" s="1"/>
      <c r="I46" s="3"/>
      <c r="J46" s="9"/>
      <c r="K46" s="17"/>
      <c r="L46" s="10"/>
      <c r="M46" s="10"/>
    </row>
    <row r="47" spans="5:13" x14ac:dyDescent="0.3">
      <c r="E47" s="1"/>
      <c r="F47" s="1"/>
      <c r="G47" s="1"/>
      <c r="H47" s="1"/>
      <c r="I47" s="3"/>
      <c r="J47" s="9"/>
      <c r="K47" s="17"/>
      <c r="L47" s="10"/>
      <c r="M47" s="10"/>
    </row>
    <row r="48" spans="5:13" x14ac:dyDescent="0.3">
      <c r="E48" s="1"/>
      <c r="F48" s="1"/>
      <c r="G48" s="1"/>
      <c r="H48" s="1"/>
      <c r="I48" s="3"/>
      <c r="J48" s="9"/>
      <c r="K48" s="17"/>
      <c r="L48" s="10"/>
      <c r="M48" s="10"/>
    </row>
    <row r="49" spans="5:13" x14ac:dyDescent="0.3">
      <c r="E49" s="1"/>
      <c r="F49" s="1"/>
      <c r="G49" s="1"/>
      <c r="H49" s="1"/>
      <c r="I49" s="3"/>
      <c r="J49" s="9"/>
      <c r="K49" s="17"/>
      <c r="L49" s="10"/>
      <c r="M49" s="10"/>
    </row>
    <row r="50" spans="5:13" x14ac:dyDescent="0.3">
      <c r="E50" s="1"/>
      <c r="F50" s="1"/>
      <c r="G50" s="1"/>
      <c r="H50" s="1"/>
      <c r="I50" s="3"/>
      <c r="J50" s="9"/>
      <c r="K50" s="17"/>
      <c r="L50" s="10"/>
      <c r="M50" s="10"/>
    </row>
    <row r="51" spans="5:13" x14ac:dyDescent="0.3">
      <c r="E51" s="1"/>
      <c r="F51" s="1"/>
      <c r="G51" s="1"/>
      <c r="H51" s="1"/>
      <c r="I51" s="3"/>
      <c r="J51" s="9"/>
      <c r="K51" s="17"/>
      <c r="L51" s="10"/>
      <c r="M51" s="10"/>
    </row>
    <row r="52" spans="5:13" x14ac:dyDescent="0.3">
      <c r="E52" s="1"/>
      <c r="F52" s="1"/>
      <c r="G52" s="1"/>
      <c r="H52" s="1"/>
      <c r="I52" s="3"/>
      <c r="J52" s="9"/>
      <c r="K52" s="17"/>
      <c r="L52" s="10"/>
      <c r="M52" s="10"/>
    </row>
    <row r="53" spans="5:13" x14ac:dyDescent="0.3">
      <c r="E53" s="1"/>
      <c r="F53" s="1"/>
      <c r="G53" s="1"/>
      <c r="H53" s="1"/>
      <c r="I53" s="3"/>
      <c r="J53" s="9"/>
      <c r="K53" s="17"/>
      <c r="L53" s="10"/>
      <c r="M53" s="10"/>
    </row>
    <row r="54" spans="5:13" x14ac:dyDescent="0.3">
      <c r="E54" s="1"/>
      <c r="F54" s="1"/>
      <c r="G54" s="1"/>
      <c r="H54" s="1"/>
      <c r="I54" s="3"/>
      <c r="J54" s="9"/>
      <c r="K54" s="17"/>
      <c r="L54" s="10"/>
      <c r="M54" s="10"/>
    </row>
    <row r="55" spans="5:13" x14ac:dyDescent="0.3">
      <c r="E55" s="1"/>
      <c r="F55" s="1"/>
      <c r="G55" s="1"/>
      <c r="H55" s="1"/>
      <c r="I55" s="3"/>
      <c r="J55" s="9"/>
      <c r="K55" s="17"/>
      <c r="L55" s="10"/>
      <c r="M55" s="10"/>
    </row>
    <row r="56" spans="5:13" x14ac:dyDescent="0.3">
      <c r="E56" s="1"/>
      <c r="F56" s="1"/>
      <c r="G56" s="1"/>
      <c r="H56" s="1"/>
      <c r="I56" s="3"/>
      <c r="J56" s="9"/>
      <c r="K56" s="17"/>
      <c r="L56" s="10"/>
      <c r="M56" s="10"/>
    </row>
    <row r="57" spans="5:13" x14ac:dyDescent="0.3">
      <c r="E57" s="1"/>
      <c r="F57" s="1"/>
      <c r="G57" s="1"/>
      <c r="H57" s="1"/>
      <c r="I57" s="3"/>
      <c r="J57" s="9"/>
      <c r="K57" s="17"/>
      <c r="L57" s="10"/>
      <c r="M57" s="10"/>
    </row>
    <row r="58" spans="5:13" x14ac:dyDescent="0.3">
      <c r="E58" s="1"/>
      <c r="F58" s="1"/>
      <c r="G58" s="1"/>
      <c r="H58" s="1"/>
      <c r="I58" s="3"/>
      <c r="J58" s="9"/>
      <c r="K58" s="17"/>
      <c r="L58" s="10"/>
      <c r="M58" s="10"/>
    </row>
    <row r="59" spans="5:13" x14ac:dyDescent="0.3">
      <c r="E59" s="1"/>
      <c r="F59" s="1"/>
      <c r="G59" s="1"/>
      <c r="H59" s="1"/>
      <c r="I59" s="3"/>
      <c r="J59" s="9"/>
      <c r="K59" s="17"/>
      <c r="L59" s="10"/>
      <c r="M59" s="10"/>
    </row>
    <row r="60" spans="5:13" x14ac:dyDescent="0.3">
      <c r="E60" s="1"/>
      <c r="F60" s="1"/>
      <c r="G60" s="1"/>
      <c r="H60" s="1"/>
      <c r="I60" s="3"/>
      <c r="J60" s="9"/>
      <c r="K60" s="17"/>
      <c r="L60" s="10"/>
      <c r="M60" s="10"/>
    </row>
    <row r="61" spans="5:13" x14ac:dyDescent="0.3">
      <c r="E61" s="1"/>
      <c r="F61" s="1"/>
      <c r="G61" s="1"/>
      <c r="H61" s="1"/>
      <c r="I61" s="3"/>
      <c r="J61" s="9"/>
      <c r="K61" s="17"/>
      <c r="L61" s="10"/>
      <c r="M61" s="10"/>
    </row>
    <row r="62" spans="5:13" x14ac:dyDescent="0.3">
      <c r="E62" s="1"/>
      <c r="F62" s="1"/>
      <c r="G62" s="1"/>
      <c r="H62" s="1"/>
      <c r="I62" s="3"/>
      <c r="J62" s="9"/>
      <c r="K62" s="17"/>
      <c r="L62" s="10"/>
      <c r="M62" s="10"/>
    </row>
    <row r="63" spans="5:13" x14ac:dyDescent="0.3">
      <c r="E63" s="1"/>
      <c r="F63" s="1"/>
      <c r="G63" s="1"/>
      <c r="H63" s="1"/>
      <c r="I63" s="3"/>
      <c r="J63" s="9"/>
      <c r="K63" s="17"/>
      <c r="L63" s="10"/>
      <c r="M63" s="10"/>
    </row>
    <row r="64" spans="5:13" x14ac:dyDescent="0.3">
      <c r="E64" s="1"/>
      <c r="F64" s="1"/>
      <c r="G64" s="1"/>
      <c r="H64" s="1"/>
      <c r="I64" s="3"/>
      <c r="J64" s="9"/>
      <c r="K64" s="17"/>
      <c r="L64" s="10"/>
      <c r="M64" s="10"/>
    </row>
    <row r="65" spans="5:13" x14ac:dyDescent="0.3">
      <c r="E65" s="1"/>
      <c r="F65" s="1"/>
      <c r="G65" s="1"/>
      <c r="H65" s="1"/>
      <c r="I65" s="3"/>
      <c r="J65" s="9"/>
      <c r="K65" s="17"/>
      <c r="L65" s="10"/>
      <c r="M65" s="10"/>
    </row>
    <row r="66" spans="5:13" x14ac:dyDescent="0.3">
      <c r="E66" s="1"/>
      <c r="F66" s="1"/>
      <c r="G66" s="1"/>
      <c r="H66" s="1"/>
      <c r="I66" s="3"/>
      <c r="J66" s="9"/>
      <c r="K66" s="17"/>
      <c r="L66" s="10"/>
      <c r="M66" s="10"/>
    </row>
    <row r="67" spans="5:13" x14ac:dyDescent="0.3">
      <c r="E67" s="1"/>
      <c r="F67" s="1"/>
      <c r="G67" s="1"/>
      <c r="H67" s="1"/>
      <c r="I67" s="3"/>
      <c r="J67" s="9"/>
      <c r="K67" s="17"/>
      <c r="L67" s="10"/>
      <c r="M67" s="10"/>
    </row>
    <row r="68" spans="5:13" x14ac:dyDescent="0.3">
      <c r="E68" s="1"/>
      <c r="F68" s="1"/>
      <c r="G68" s="1"/>
      <c r="H68" s="1"/>
      <c r="I68" s="3"/>
      <c r="J68" s="9"/>
      <c r="K68" s="17"/>
      <c r="L68" s="10"/>
      <c r="M68" s="10"/>
    </row>
    <row r="69" spans="5:13" x14ac:dyDescent="0.3">
      <c r="E69" s="1"/>
      <c r="F69" s="1"/>
      <c r="G69" s="1"/>
      <c r="H69" s="1"/>
      <c r="I69" s="3"/>
      <c r="J69" s="9"/>
      <c r="K69" s="17"/>
      <c r="L69" s="10"/>
      <c r="M69" s="10"/>
    </row>
    <row r="70" spans="5:13" x14ac:dyDescent="0.3">
      <c r="E70" s="1"/>
      <c r="F70" s="1"/>
      <c r="G70" s="1"/>
      <c r="H70" s="1"/>
      <c r="I70" s="3"/>
      <c r="J70" s="9"/>
      <c r="K70" s="17"/>
      <c r="L70" s="10"/>
      <c r="M70" s="10"/>
    </row>
    <row r="71" spans="5:13" x14ac:dyDescent="0.3">
      <c r="E71" s="1"/>
      <c r="F71" s="1"/>
      <c r="G71" s="1"/>
      <c r="H71" s="1"/>
      <c r="I71" s="3"/>
      <c r="J71" s="9"/>
      <c r="K71" s="17"/>
      <c r="L71" s="10"/>
      <c r="M71" s="10"/>
    </row>
    <row r="72" spans="5:13" x14ac:dyDescent="0.3">
      <c r="E72" s="1"/>
      <c r="F72" s="1"/>
      <c r="G72" s="1"/>
      <c r="H72" s="1"/>
      <c r="I72" s="3"/>
      <c r="J72" s="9"/>
      <c r="K72" s="17"/>
      <c r="L72" s="10"/>
      <c r="M72" s="10"/>
    </row>
    <row r="73" spans="5:13" x14ac:dyDescent="0.3">
      <c r="E73" s="1"/>
      <c r="F73" s="1"/>
      <c r="G73" s="1"/>
      <c r="H73" s="1"/>
      <c r="I73" s="3"/>
      <c r="J73" s="9"/>
      <c r="K73" s="17"/>
      <c r="L73" s="10"/>
      <c r="M73" s="10"/>
    </row>
    <row r="74" spans="5:13" x14ac:dyDescent="0.3">
      <c r="E74" s="1"/>
      <c r="F74" s="1"/>
      <c r="G74" s="1"/>
      <c r="H74" s="1"/>
      <c r="I74" s="3"/>
      <c r="J74" s="9"/>
      <c r="K74" s="17"/>
      <c r="L74" s="10"/>
      <c r="M74" s="10"/>
    </row>
    <row r="75" spans="5:13" x14ac:dyDescent="0.3">
      <c r="E75" s="1"/>
      <c r="F75" s="1"/>
      <c r="G75" s="1"/>
      <c r="H75" s="1"/>
      <c r="I75" s="3"/>
      <c r="J75" s="9"/>
      <c r="K75" s="17"/>
      <c r="L75" s="10"/>
      <c r="M75" s="10"/>
    </row>
    <row r="76" spans="5:13" x14ac:dyDescent="0.3">
      <c r="E76" s="1"/>
      <c r="F76" s="1"/>
      <c r="G76" s="1"/>
      <c r="H76" s="1"/>
      <c r="I76" s="3"/>
      <c r="J76" s="9"/>
      <c r="K76" s="17"/>
      <c r="L76" s="10"/>
      <c r="M76" s="10"/>
    </row>
    <row r="77" spans="5:13" x14ac:dyDescent="0.3">
      <c r="E77" s="1"/>
      <c r="F77" s="1"/>
      <c r="G77" s="1"/>
      <c r="H77" s="1"/>
      <c r="I77" s="3"/>
      <c r="J77" s="9"/>
      <c r="K77" s="17"/>
      <c r="L77" s="10"/>
      <c r="M77" s="10"/>
    </row>
    <row r="78" spans="5:13" x14ac:dyDescent="0.3">
      <c r="E78" s="1"/>
      <c r="F78" s="1"/>
      <c r="G78" s="1"/>
      <c r="H78" s="1"/>
      <c r="I78" s="3"/>
      <c r="J78" s="9"/>
      <c r="K78" s="17"/>
      <c r="L78" s="10"/>
      <c r="M78" s="10"/>
    </row>
    <row r="79" spans="5:13" x14ac:dyDescent="0.3">
      <c r="E79" s="1"/>
      <c r="F79" s="1"/>
      <c r="G79" s="1"/>
      <c r="H79" s="1"/>
      <c r="I79" s="3"/>
      <c r="J79" s="9"/>
      <c r="K79" s="17"/>
      <c r="L79" s="10"/>
      <c r="M79" s="10"/>
    </row>
    <row r="80" spans="5:13" x14ac:dyDescent="0.3">
      <c r="E80" s="1"/>
      <c r="F80" s="1"/>
      <c r="G80" s="1"/>
      <c r="H80" s="1"/>
      <c r="I80" s="3"/>
      <c r="J80" s="9"/>
      <c r="K80" s="17"/>
      <c r="L80" s="10"/>
      <c r="M80" s="10"/>
    </row>
    <row r="81" spans="5:13" x14ac:dyDescent="0.3">
      <c r="E81" s="1"/>
      <c r="F81" s="1"/>
      <c r="G81" s="1"/>
      <c r="H81" s="1"/>
      <c r="I81" s="3"/>
      <c r="J81" s="9"/>
      <c r="K81" s="17"/>
      <c r="L81" s="10"/>
      <c r="M81" s="10"/>
    </row>
    <row r="82" spans="5:13" x14ac:dyDescent="0.3">
      <c r="E82" s="1"/>
      <c r="F82" s="1"/>
      <c r="G82" s="1"/>
      <c r="H82" s="1"/>
      <c r="I82" s="3"/>
      <c r="J82" s="9"/>
      <c r="K82" s="17"/>
      <c r="L82" s="10"/>
      <c r="M82" s="10"/>
    </row>
    <row r="83" spans="5:13" x14ac:dyDescent="0.3">
      <c r="E83" s="1"/>
      <c r="F83" s="1"/>
      <c r="G83" s="1"/>
      <c r="H83" s="1"/>
      <c r="I83" s="3"/>
      <c r="J83" s="9"/>
      <c r="K83" s="17"/>
      <c r="L83" s="10"/>
      <c r="M83" s="10"/>
    </row>
    <row r="84" spans="5:13" x14ac:dyDescent="0.3">
      <c r="E84" s="1"/>
      <c r="F84" s="1"/>
      <c r="G84" s="1"/>
      <c r="H84" s="1"/>
      <c r="I84" s="3"/>
      <c r="J84" s="9"/>
      <c r="K84" s="17"/>
      <c r="L84" s="10"/>
      <c r="M84" s="10"/>
    </row>
    <row r="85" spans="5:13" x14ac:dyDescent="0.3">
      <c r="E85" s="1"/>
      <c r="F85" s="1"/>
      <c r="G85" s="1"/>
      <c r="H85" s="1"/>
      <c r="I85" s="3"/>
      <c r="J85" s="9"/>
      <c r="K85" s="17"/>
      <c r="L85" s="10"/>
      <c r="M85" s="10"/>
    </row>
    <row r="86" spans="5:13" x14ac:dyDescent="0.3">
      <c r="E86" s="1"/>
      <c r="F86" s="1"/>
      <c r="G86" s="1"/>
      <c r="H86" s="1"/>
      <c r="I86" s="3"/>
      <c r="J86" s="9"/>
      <c r="K86" s="17"/>
      <c r="L86" s="10"/>
      <c r="M86" s="10"/>
    </row>
    <row r="87" spans="5:13" x14ac:dyDescent="0.3">
      <c r="E87" s="1"/>
      <c r="F87" s="1"/>
      <c r="G87" s="1"/>
      <c r="H87" s="1"/>
      <c r="I87" s="3"/>
      <c r="J87" s="9"/>
      <c r="K87" s="17"/>
      <c r="L87" s="10"/>
      <c r="M87" s="10"/>
    </row>
    <row r="88" spans="5:13" x14ac:dyDescent="0.3">
      <c r="E88" s="1"/>
      <c r="F88" s="1"/>
      <c r="G88" s="1"/>
      <c r="H88" s="1"/>
      <c r="I88" s="3"/>
      <c r="J88" s="9"/>
      <c r="K88" s="17"/>
      <c r="L88" s="10"/>
      <c r="M88" s="10"/>
    </row>
    <row r="89" spans="5:13" x14ac:dyDescent="0.3">
      <c r="E89" s="1"/>
      <c r="F89" s="1"/>
      <c r="G89" s="1"/>
      <c r="H89" s="1"/>
      <c r="I89" s="3"/>
      <c r="J89" s="9"/>
      <c r="K89" s="17"/>
      <c r="L89" s="10"/>
      <c r="M89" s="10"/>
    </row>
    <row r="90" spans="5:13" x14ac:dyDescent="0.3">
      <c r="E90" s="1"/>
      <c r="F90" s="1"/>
      <c r="G90" s="1"/>
      <c r="H90" s="1"/>
      <c r="I90" s="3"/>
      <c r="J90" s="9"/>
      <c r="K90" s="17"/>
      <c r="L90" s="10"/>
      <c r="M90" s="10"/>
    </row>
    <row r="91" spans="5:13" x14ac:dyDescent="0.3">
      <c r="E91" s="1"/>
      <c r="F91" s="1"/>
      <c r="G91" s="1"/>
      <c r="H91" s="1"/>
      <c r="I91" s="3"/>
      <c r="J91" s="9"/>
      <c r="K91" s="17"/>
      <c r="L91" s="10"/>
      <c r="M91" s="10"/>
    </row>
    <row r="92" spans="5:13" x14ac:dyDescent="0.3">
      <c r="E92" s="1"/>
      <c r="F92" s="1"/>
      <c r="G92" s="1"/>
      <c r="H92" s="1"/>
      <c r="I92" s="3"/>
      <c r="J92" s="9"/>
      <c r="K92" s="17"/>
      <c r="L92" s="10"/>
      <c r="M92" s="10"/>
    </row>
    <row r="93" spans="5:13" x14ac:dyDescent="0.3">
      <c r="E93" s="1"/>
      <c r="F93" s="1"/>
      <c r="G93" s="1"/>
      <c r="H93" s="1"/>
      <c r="I93" s="3"/>
      <c r="J93" s="9"/>
      <c r="K93" s="17"/>
      <c r="L93" s="10"/>
      <c r="M93" s="10"/>
    </row>
    <row r="94" spans="5:13" x14ac:dyDescent="0.3">
      <c r="E94" s="1"/>
      <c r="F94" s="1"/>
      <c r="G94" s="1"/>
      <c r="H94" s="1"/>
      <c r="I94" s="3"/>
      <c r="J94" s="9"/>
      <c r="K94" s="17"/>
      <c r="L94" s="10"/>
      <c r="M94" s="10"/>
    </row>
    <row r="95" spans="5:13" x14ac:dyDescent="0.3">
      <c r="E95" s="1"/>
      <c r="F95" s="1"/>
      <c r="G95" s="1"/>
      <c r="H95" s="1"/>
      <c r="I95" s="3"/>
      <c r="J95" s="9"/>
      <c r="K95" s="17"/>
      <c r="L95" s="10"/>
      <c r="M95" s="10"/>
    </row>
    <row r="96" spans="5:13" x14ac:dyDescent="0.3">
      <c r="E96" s="1"/>
      <c r="F96" s="1"/>
      <c r="G96" s="1"/>
      <c r="H96" s="1"/>
      <c r="I96" s="3"/>
      <c r="J96" s="9"/>
      <c r="K96" s="17"/>
      <c r="L96" s="10"/>
      <c r="M96" s="10"/>
    </row>
    <row r="97" spans="5:13" x14ac:dyDescent="0.3">
      <c r="E97" s="1"/>
      <c r="F97" s="1"/>
      <c r="G97" s="1"/>
      <c r="H97" s="1"/>
      <c r="I97" s="3"/>
      <c r="J97" s="9"/>
      <c r="K97" s="17"/>
      <c r="L97" s="10"/>
      <c r="M97" s="10"/>
    </row>
    <row r="98" spans="5:13" x14ac:dyDescent="0.3">
      <c r="E98" s="1"/>
      <c r="F98" s="1"/>
      <c r="G98" s="1"/>
      <c r="H98" s="1"/>
      <c r="I98" s="3"/>
      <c r="J98" s="9"/>
      <c r="K98" s="17"/>
      <c r="L98" s="10"/>
      <c r="M98" s="10"/>
    </row>
    <row r="99" spans="5:13" x14ac:dyDescent="0.3">
      <c r="E99" s="1"/>
      <c r="F99" s="1"/>
      <c r="G99" s="1"/>
      <c r="H99" s="1"/>
      <c r="I99" s="3"/>
      <c r="J99" s="9"/>
      <c r="K99" s="17"/>
      <c r="L99" s="10"/>
      <c r="M99" s="10"/>
    </row>
    <row r="100" spans="5:13" x14ac:dyDescent="0.3">
      <c r="E100" s="1"/>
      <c r="F100" s="1"/>
      <c r="G100" s="1"/>
      <c r="H100" s="1"/>
      <c r="I100" s="3"/>
      <c r="J100" s="9"/>
      <c r="K100" s="17"/>
      <c r="L100" s="10"/>
      <c r="M100" s="10"/>
    </row>
    <row r="101" spans="5:13" x14ac:dyDescent="0.3">
      <c r="E101" s="1"/>
      <c r="F101" s="1"/>
      <c r="G101" s="1"/>
      <c r="H101" s="1"/>
      <c r="I101" s="3"/>
      <c r="J101" s="9"/>
      <c r="K101" s="17"/>
      <c r="L101" s="10"/>
      <c r="M101" s="10"/>
    </row>
    <row r="102" spans="5:13" x14ac:dyDescent="0.3">
      <c r="E102" s="1"/>
      <c r="F102" s="1"/>
      <c r="G102" s="1"/>
      <c r="H102" s="1"/>
      <c r="I102" s="3"/>
      <c r="J102" s="9"/>
      <c r="K102" s="17"/>
      <c r="L102" s="10"/>
      <c r="M102" s="10"/>
    </row>
    <row r="103" spans="5:13" x14ac:dyDescent="0.3">
      <c r="E103" s="1"/>
      <c r="F103" s="1"/>
      <c r="G103" s="1"/>
      <c r="H103" s="1"/>
      <c r="I103" s="3"/>
      <c r="J103" s="9"/>
      <c r="K103" s="17"/>
      <c r="L103" s="10"/>
      <c r="M103" s="10"/>
    </row>
    <row r="104" spans="5:13" x14ac:dyDescent="0.3">
      <c r="E104" s="1"/>
      <c r="F104" s="1"/>
      <c r="G104" s="1"/>
      <c r="H104" s="1"/>
      <c r="I104" s="3"/>
      <c r="J104" s="9"/>
      <c r="K104" s="17"/>
      <c r="L104" s="10"/>
      <c r="M104" s="10"/>
    </row>
    <row r="105" spans="5:13" x14ac:dyDescent="0.3">
      <c r="E105" s="1"/>
      <c r="F105" s="1"/>
      <c r="G105" s="1"/>
      <c r="H105" s="1"/>
      <c r="I105" s="3"/>
      <c r="J105" s="9"/>
      <c r="K105" s="17"/>
      <c r="L105" s="10"/>
      <c r="M105" s="10"/>
    </row>
    <row r="106" spans="5:13" x14ac:dyDescent="0.3">
      <c r="E106" s="1"/>
      <c r="F106" s="1"/>
      <c r="G106" s="1"/>
      <c r="H106" s="1"/>
      <c r="I106" s="3"/>
      <c r="J106" s="9"/>
      <c r="K106" s="17"/>
      <c r="L106" s="10"/>
      <c r="M106" s="10"/>
    </row>
    <row r="107" spans="5:13" x14ac:dyDescent="0.3">
      <c r="E107" s="1"/>
      <c r="F107" s="1"/>
      <c r="G107" s="1"/>
      <c r="H107" s="1"/>
      <c r="I107" s="3"/>
      <c r="J107" s="9"/>
      <c r="K107" s="17"/>
      <c r="L107" s="10"/>
      <c r="M107" s="10"/>
    </row>
    <row r="108" spans="5:13" x14ac:dyDescent="0.3">
      <c r="E108" s="1"/>
      <c r="F108" s="1"/>
      <c r="G108" s="1"/>
      <c r="H108" s="1"/>
      <c r="I108" s="3"/>
      <c r="J108" s="9"/>
      <c r="K108" s="17"/>
      <c r="L108" s="10"/>
      <c r="M108" s="10"/>
    </row>
    <row r="109" spans="5:13" x14ac:dyDescent="0.3">
      <c r="E109" s="1"/>
      <c r="F109" s="1"/>
      <c r="G109" s="1"/>
      <c r="H109" s="1"/>
      <c r="I109" s="3"/>
      <c r="J109" s="9"/>
      <c r="K109" s="17"/>
      <c r="L109" s="10"/>
      <c r="M109" s="10"/>
    </row>
    <row r="110" spans="5:13" x14ac:dyDescent="0.3">
      <c r="E110" s="1"/>
      <c r="F110" s="1"/>
      <c r="G110" s="1"/>
      <c r="H110" s="1"/>
      <c r="I110" s="3"/>
      <c r="J110" s="9"/>
      <c r="K110" s="17"/>
      <c r="L110" s="10"/>
      <c r="M110" s="10"/>
    </row>
    <row r="111" spans="5:13" x14ac:dyDescent="0.3">
      <c r="E111" s="1"/>
      <c r="F111" s="1"/>
      <c r="G111" s="1"/>
      <c r="H111" s="1"/>
      <c r="I111" s="3"/>
      <c r="J111" s="9"/>
      <c r="K111" s="17"/>
      <c r="L111" s="10"/>
      <c r="M111" s="10"/>
    </row>
    <row r="112" spans="5:13" x14ac:dyDescent="0.3">
      <c r="E112" s="1"/>
      <c r="F112" s="1"/>
      <c r="G112" s="1"/>
      <c r="H112" s="1"/>
      <c r="I112" s="3"/>
      <c r="J112" s="9"/>
      <c r="K112" s="17"/>
      <c r="L112" s="10"/>
      <c r="M112" s="10"/>
    </row>
    <row r="113" spans="5:13" x14ac:dyDescent="0.3">
      <c r="E113" s="1"/>
      <c r="F113" s="1"/>
      <c r="G113" s="1"/>
      <c r="H113" s="1"/>
      <c r="I113" s="3"/>
      <c r="J113" s="9"/>
      <c r="K113" s="17"/>
      <c r="L113" s="10"/>
      <c r="M113" s="10"/>
    </row>
    <row r="114" spans="5:13" x14ac:dyDescent="0.3">
      <c r="E114" s="1"/>
      <c r="F114" s="1"/>
      <c r="G114" s="1"/>
      <c r="H114" s="1"/>
      <c r="I114" s="3"/>
      <c r="J114" s="9"/>
      <c r="K114" s="17"/>
      <c r="L114" s="10"/>
      <c r="M114" s="10"/>
    </row>
    <row r="115" spans="5:13" x14ac:dyDescent="0.3">
      <c r="E115" s="1"/>
      <c r="F115" s="1"/>
      <c r="G115" s="1"/>
      <c r="H115" s="1"/>
      <c r="I115" s="3"/>
      <c r="J115" s="9"/>
      <c r="K115" s="17"/>
      <c r="L115" s="10"/>
      <c r="M115" s="10"/>
    </row>
    <row r="116" spans="5:13" x14ac:dyDescent="0.3">
      <c r="E116" s="1"/>
      <c r="F116" s="1"/>
      <c r="G116" s="1"/>
      <c r="H116" s="1"/>
      <c r="I116" s="3"/>
      <c r="J116" s="9"/>
      <c r="K116" s="17"/>
      <c r="L116" s="10"/>
      <c r="M116" s="10"/>
    </row>
    <row r="117" spans="5:13" x14ac:dyDescent="0.3">
      <c r="E117" s="1"/>
      <c r="F117" s="1"/>
      <c r="G117" s="1"/>
      <c r="H117" s="1"/>
      <c r="I117" s="3"/>
      <c r="J117" s="9"/>
      <c r="K117" s="17"/>
      <c r="L117" s="10"/>
      <c r="M117" s="10"/>
    </row>
    <row r="118" spans="5:13" x14ac:dyDescent="0.3">
      <c r="E118" s="1"/>
      <c r="F118" s="1"/>
      <c r="G118" s="1"/>
      <c r="H118" s="1"/>
      <c r="I118" s="3"/>
      <c r="J118" s="9"/>
      <c r="K118" s="17"/>
      <c r="L118" s="10"/>
      <c r="M118" s="10"/>
    </row>
    <row r="119" spans="5:13" x14ac:dyDescent="0.3">
      <c r="E119" s="1"/>
      <c r="F119" s="1"/>
      <c r="G119" s="1"/>
      <c r="H119" s="1"/>
      <c r="I119" s="3"/>
      <c r="J119" s="9"/>
      <c r="K119" s="17"/>
      <c r="L119" s="10"/>
      <c r="M119" s="10"/>
    </row>
    <row r="120" spans="5:13" x14ac:dyDescent="0.3">
      <c r="E120" s="1"/>
      <c r="F120" s="1"/>
      <c r="G120" s="1"/>
      <c r="H120" s="1"/>
      <c r="I120" s="3"/>
      <c r="J120" s="9"/>
      <c r="K120" s="17"/>
      <c r="L120" s="10"/>
      <c r="M120" s="10"/>
    </row>
    <row r="121" spans="5:13" x14ac:dyDescent="0.3">
      <c r="E121" s="1"/>
      <c r="F121" s="1"/>
      <c r="G121" s="1"/>
      <c r="H121" s="1"/>
      <c r="I121" s="3"/>
      <c r="J121" s="9"/>
      <c r="K121" s="17"/>
      <c r="L121" s="10"/>
      <c r="M121" s="10"/>
    </row>
    <row r="122" spans="5:13" x14ac:dyDescent="0.3">
      <c r="E122" s="1"/>
      <c r="F122" s="1"/>
      <c r="G122" s="1"/>
      <c r="H122" s="1"/>
      <c r="I122" s="3"/>
      <c r="J122" s="9"/>
      <c r="K122" s="17"/>
      <c r="L122" s="10"/>
      <c r="M122" s="10"/>
    </row>
    <row r="123" spans="5:13" x14ac:dyDescent="0.3">
      <c r="E123" s="1"/>
      <c r="F123" s="1"/>
      <c r="G123" s="1"/>
      <c r="H123" s="1"/>
      <c r="I123" s="3"/>
      <c r="J123" s="9"/>
      <c r="K123" s="17"/>
      <c r="L123" s="10"/>
      <c r="M123" s="10"/>
    </row>
    <row r="124" spans="5:13" x14ac:dyDescent="0.3">
      <c r="E124" s="1"/>
      <c r="F124" s="1"/>
      <c r="G124" s="1"/>
      <c r="H124" s="1"/>
      <c r="I124" s="3"/>
      <c r="J124" s="9"/>
      <c r="K124" s="17"/>
      <c r="L124" s="10"/>
      <c r="M124" s="10"/>
    </row>
    <row r="125" spans="5:13" x14ac:dyDescent="0.3">
      <c r="E125" s="1"/>
      <c r="F125" s="1"/>
      <c r="G125" s="1"/>
      <c r="H125" s="1"/>
      <c r="I125" s="3"/>
      <c r="J125" s="9"/>
      <c r="K125" s="17"/>
      <c r="L125" s="10"/>
      <c r="M125" s="10"/>
    </row>
    <row r="126" spans="5:13" x14ac:dyDescent="0.3">
      <c r="E126" s="1"/>
      <c r="F126" s="1"/>
      <c r="G126" s="1"/>
      <c r="H126" s="1"/>
      <c r="I126" s="3"/>
      <c r="J126" s="9"/>
      <c r="K126" s="17"/>
      <c r="L126" s="10"/>
      <c r="M126" s="10"/>
    </row>
    <row r="127" spans="5:13" x14ac:dyDescent="0.3">
      <c r="E127" s="1"/>
      <c r="F127" s="1"/>
      <c r="G127" s="1"/>
      <c r="H127" s="1"/>
      <c r="I127" s="3"/>
      <c r="J127" s="9"/>
      <c r="K127" s="17"/>
      <c r="L127" s="10"/>
      <c r="M127" s="10"/>
    </row>
    <row r="128" spans="5:13" x14ac:dyDescent="0.3">
      <c r="E128" s="1"/>
      <c r="F128" s="1"/>
      <c r="G128" s="1"/>
      <c r="H128" s="1"/>
      <c r="I128" s="3"/>
      <c r="J128" s="9"/>
      <c r="K128" s="17"/>
      <c r="L128" s="10"/>
      <c r="M128" s="10"/>
    </row>
    <row r="129" spans="5:13" x14ac:dyDescent="0.3">
      <c r="E129" s="1"/>
      <c r="F129" s="1"/>
      <c r="G129" s="1"/>
      <c r="H129" s="1"/>
      <c r="I129" s="3"/>
      <c r="J129" s="9"/>
      <c r="K129" s="17"/>
      <c r="L129" s="10"/>
      <c r="M129" s="10"/>
    </row>
    <row r="130" spans="5:13" x14ac:dyDescent="0.3">
      <c r="E130" s="1"/>
      <c r="F130" s="1"/>
      <c r="G130" s="1"/>
      <c r="H130" s="1"/>
      <c r="I130" s="3"/>
      <c r="J130" s="9"/>
      <c r="K130" s="17"/>
      <c r="L130" s="10"/>
      <c r="M130" s="10"/>
    </row>
    <row r="131" spans="5:13" x14ac:dyDescent="0.3">
      <c r="E131" s="1"/>
      <c r="F131" s="1"/>
      <c r="G131" s="1"/>
      <c r="H131" s="1"/>
      <c r="I131" s="3"/>
      <c r="J131" s="9"/>
      <c r="K131" s="17"/>
      <c r="L131" s="10"/>
      <c r="M131" s="10"/>
    </row>
    <row r="132" spans="5:13" x14ac:dyDescent="0.3">
      <c r="E132" s="1"/>
      <c r="F132" s="1"/>
      <c r="G132" s="1"/>
      <c r="H132" s="1"/>
      <c r="I132" s="3"/>
      <c r="J132" s="9"/>
      <c r="K132" s="17"/>
      <c r="L132" s="10"/>
      <c r="M132" s="10"/>
    </row>
    <row r="133" spans="5:13" x14ac:dyDescent="0.3">
      <c r="E133" s="1"/>
      <c r="F133" s="1"/>
      <c r="G133" s="1"/>
      <c r="H133" s="1"/>
      <c r="I133" s="3"/>
      <c r="J133" s="9"/>
      <c r="K133" s="17"/>
      <c r="L133" s="10"/>
      <c r="M133" s="10"/>
    </row>
    <row r="134" spans="5:13" x14ac:dyDescent="0.3">
      <c r="E134" s="1"/>
      <c r="F134" s="1"/>
      <c r="G134" s="1"/>
      <c r="H134" s="1"/>
      <c r="I134" s="3"/>
      <c r="J134" s="9"/>
      <c r="K134" s="17"/>
      <c r="L134" s="10"/>
      <c r="M134" s="10"/>
    </row>
    <row r="135" spans="5:13" x14ac:dyDescent="0.3">
      <c r="E135" s="1"/>
      <c r="F135" s="1"/>
      <c r="G135" s="1"/>
      <c r="H135" s="1"/>
      <c r="I135" s="3"/>
      <c r="J135" s="9"/>
      <c r="K135" s="17"/>
      <c r="L135" s="10"/>
      <c r="M135" s="10"/>
    </row>
    <row r="136" spans="5:13" x14ac:dyDescent="0.3">
      <c r="E136" s="1"/>
      <c r="F136" s="1"/>
      <c r="G136" s="1"/>
      <c r="H136" s="1"/>
      <c r="I136" s="3"/>
      <c r="J136" s="9"/>
      <c r="K136" s="17"/>
      <c r="L136" s="10"/>
      <c r="M136" s="10"/>
    </row>
    <row r="137" spans="5:13" x14ac:dyDescent="0.3">
      <c r="E137" s="1"/>
      <c r="F137" s="1"/>
      <c r="G137" s="1"/>
      <c r="H137" s="1"/>
      <c r="I137" s="3"/>
      <c r="J137" s="9"/>
      <c r="K137" s="17"/>
      <c r="L137" s="10"/>
      <c r="M137" s="10"/>
    </row>
    <row r="138" spans="5:13" x14ac:dyDescent="0.3">
      <c r="E138" s="1"/>
      <c r="F138" s="1"/>
      <c r="G138" s="1"/>
      <c r="H138" s="1"/>
      <c r="I138" s="3"/>
      <c r="J138" s="9"/>
      <c r="K138" s="17"/>
      <c r="L138" s="10"/>
      <c r="M138" s="10"/>
    </row>
    <row r="139" spans="5:13" x14ac:dyDescent="0.3">
      <c r="E139" s="1"/>
      <c r="F139" s="1"/>
      <c r="G139" s="1"/>
      <c r="H139" s="1"/>
      <c r="I139" s="3"/>
      <c r="J139" s="9"/>
      <c r="K139" s="17"/>
      <c r="L139" s="10"/>
      <c r="M139" s="10"/>
    </row>
    <row r="140" spans="5:13" x14ac:dyDescent="0.3">
      <c r="E140" s="1"/>
      <c r="F140" s="1"/>
      <c r="G140" s="1"/>
      <c r="H140" s="1"/>
      <c r="I140" s="3"/>
      <c r="J140" s="9"/>
      <c r="K140" s="17"/>
      <c r="L140" s="10"/>
      <c r="M140" s="10"/>
    </row>
  </sheetData>
  <conditionalFormatting sqref="J1:M1 I1:I140">
    <cfRule type="expression" priority="1">
      <formula>MIN(I:I)</formula>
    </cfRule>
    <cfRule type="expression" priority="2">
      <formula>"min"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9"/>
  <dimension ref="A1"/>
  <sheetViews>
    <sheetView workbookViewId="0">
      <selection activeCell="J28" sqref="J2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Цилиндр</vt:lpstr>
      <vt:lpstr>цилиндр2</vt:lpstr>
      <vt:lpstr>Толщина стенки</vt:lpstr>
      <vt:lpstr>Лист1</vt:lpstr>
      <vt:lpstr>Лист2</vt:lpstr>
      <vt:lpstr>цилиндр3</vt:lpstr>
      <vt:lpstr>Цилиндр_Ильнур</vt:lpstr>
      <vt:lpstr>Сферический_Ильнур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Салават Хафизов</dc:creator>
  <cp:lastModifiedBy>Салават Хафизов</cp:lastModifiedBy>
  <dcterms:created xsi:type="dcterms:W3CDTF">2023-04-15T14:20:44Z</dcterms:created>
  <dcterms:modified xsi:type="dcterms:W3CDTF">2023-05-31T10:25:24Z</dcterms:modified>
</cp:coreProperties>
</file>